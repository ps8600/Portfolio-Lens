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pascal_signer_axa_ch/Documents/Desktop/Portfolio Lens/"/>
    </mc:Choice>
  </mc:AlternateContent>
  <xr:revisionPtr revIDLastSave="2102" documentId="8_{659B411D-7872-4891-B931-029CD266F598}" xr6:coauthVersionLast="47" xr6:coauthVersionMax="47" xr10:uidLastSave="{C6E81819-F72E-4E8B-B033-CA36B41BE88F}"/>
  <bookViews>
    <workbookView xWindow="0" yWindow="120" windowWidth="23040" windowHeight="12120" xr2:uid="{85BCED7D-BB27-41D5-B479-939591C1C95F}"/>
  </bookViews>
  <sheets>
    <sheet name="Index" sheetId="3" r:id="rId1"/>
    <sheet name="Weights" sheetId="2" r:id="rId2"/>
    <sheet name="Dashboard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E16" i="2"/>
  <c r="E10" i="2"/>
  <c r="E9" i="2"/>
  <c r="K122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L34" i="3" s="1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L93" i="3" s="1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3" i="3"/>
  <c r="K2" i="3"/>
  <c r="L3" i="3" s="1"/>
  <c r="U2" i="3"/>
  <c r="AE2" i="3" s="1"/>
  <c r="T2" i="3"/>
  <c r="AD2" i="3" s="1"/>
  <c r="S2" i="3"/>
  <c r="R2" i="3"/>
  <c r="AB2" i="3" s="1"/>
  <c r="Q2" i="3"/>
  <c r="AA2" i="3" s="1"/>
  <c r="P2" i="3"/>
  <c r="Z2" i="3" s="1"/>
  <c r="O2" i="3"/>
  <c r="N2" i="3"/>
  <c r="M2" i="3"/>
  <c r="C9" i="2"/>
  <c r="D9" i="2" s="1"/>
  <c r="D17" i="2"/>
  <c r="D16" i="2"/>
  <c r="C14" i="2"/>
  <c r="C15" i="2"/>
  <c r="C13" i="2"/>
  <c r="C10" i="2"/>
  <c r="C11" i="2"/>
  <c r="C12" i="2"/>
  <c r="L62" i="3"/>
  <c r="AH2" i="3" l="1"/>
  <c r="AC2" i="3"/>
  <c r="Y2" i="3"/>
  <c r="AO2" i="3"/>
  <c r="W2" i="3"/>
  <c r="X2" i="3"/>
  <c r="AP2" i="3"/>
  <c r="D12" i="2"/>
  <c r="D15" i="2"/>
  <c r="D14" i="2"/>
  <c r="D10" i="2"/>
  <c r="D11" i="2"/>
  <c r="C18" i="2"/>
  <c r="D13" i="2"/>
  <c r="E13" i="2" s="1"/>
  <c r="S93" i="3"/>
  <c r="T93" i="3"/>
  <c r="U93" i="3"/>
  <c r="O93" i="3"/>
  <c r="Q93" i="3"/>
  <c r="R93" i="3"/>
  <c r="M93" i="3"/>
  <c r="N93" i="3"/>
  <c r="P93" i="3"/>
  <c r="L4" i="3"/>
  <c r="S3" i="3"/>
  <c r="T3" i="3"/>
  <c r="U3" i="3"/>
  <c r="O3" i="3"/>
  <c r="Q3" i="3"/>
  <c r="R3" i="3"/>
  <c r="N3" i="3"/>
  <c r="P3" i="3"/>
  <c r="M3" i="3"/>
  <c r="L35" i="3"/>
  <c r="S34" i="3"/>
  <c r="T34" i="3"/>
  <c r="U34" i="3"/>
  <c r="O34" i="3"/>
  <c r="Q34" i="3"/>
  <c r="R34" i="3"/>
  <c r="M34" i="3"/>
  <c r="N34" i="3"/>
  <c r="P34" i="3"/>
  <c r="L94" i="3"/>
  <c r="L63" i="3"/>
  <c r="S62" i="3"/>
  <c r="T62" i="3"/>
  <c r="U62" i="3"/>
  <c r="O62" i="3"/>
  <c r="Q62" i="3"/>
  <c r="R62" i="3"/>
  <c r="M62" i="3"/>
  <c r="N62" i="3"/>
  <c r="P62" i="3"/>
  <c r="E12" i="2" l="1"/>
  <c r="AK2" i="3" s="1"/>
  <c r="E11" i="2"/>
  <c r="AJ2" i="3" s="1"/>
  <c r="E15" i="2"/>
  <c r="AN2" i="3" s="1"/>
  <c r="E14" i="2"/>
  <c r="AM2" i="3" s="1"/>
  <c r="AF2" i="3"/>
  <c r="AI2" i="3"/>
  <c r="AL2" i="3"/>
  <c r="D18" i="2"/>
  <c r="W93" i="3"/>
  <c r="AH93" i="3"/>
  <c r="Y62" i="3"/>
  <c r="AA34" i="3"/>
  <c r="AA3" i="3"/>
  <c r="AB93" i="3"/>
  <c r="AE62" i="3"/>
  <c r="AP62" i="3"/>
  <c r="Y34" i="3"/>
  <c r="Y3" i="3"/>
  <c r="AA93" i="3"/>
  <c r="AD62" i="3"/>
  <c r="AO62" i="3"/>
  <c r="AE34" i="3"/>
  <c r="AP34" i="3"/>
  <c r="AE3" i="3"/>
  <c r="AP3" i="3"/>
  <c r="Y93" i="3"/>
  <c r="AB34" i="3"/>
  <c r="Z62" i="3"/>
  <c r="AC62" i="3"/>
  <c r="AD34" i="3"/>
  <c r="AO34" i="3"/>
  <c r="AD3" i="3"/>
  <c r="AO3" i="3"/>
  <c r="AE93" i="3"/>
  <c r="AP93" i="3"/>
  <c r="AB3" i="3"/>
  <c r="X62" i="3"/>
  <c r="Z34" i="3"/>
  <c r="AC34" i="3"/>
  <c r="W3" i="3"/>
  <c r="AH3" i="3"/>
  <c r="AC3" i="3"/>
  <c r="AD93" i="3"/>
  <c r="AO93" i="3"/>
  <c r="AA62" i="3"/>
  <c r="W62" i="3"/>
  <c r="AH62" i="3"/>
  <c r="X34" i="3"/>
  <c r="Z3" i="3"/>
  <c r="Z93" i="3"/>
  <c r="AC93" i="3"/>
  <c r="AB62" i="3"/>
  <c r="W34" i="3"/>
  <c r="AH34" i="3"/>
  <c r="X3" i="3"/>
  <c r="X93" i="3"/>
  <c r="L64" i="3"/>
  <c r="S63" i="3"/>
  <c r="T63" i="3"/>
  <c r="U63" i="3"/>
  <c r="O63" i="3"/>
  <c r="Q63" i="3"/>
  <c r="R63" i="3"/>
  <c r="N63" i="3"/>
  <c r="P63" i="3"/>
  <c r="M63" i="3"/>
  <c r="L5" i="3"/>
  <c r="S4" i="3"/>
  <c r="T4" i="3"/>
  <c r="U4" i="3"/>
  <c r="O4" i="3"/>
  <c r="Q4" i="3"/>
  <c r="R4" i="3"/>
  <c r="N4" i="3"/>
  <c r="P4" i="3"/>
  <c r="M4" i="3"/>
  <c r="L95" i="3"/>
  <c r="S94" i="3"/>
  <c r="T94" i="3"/>
  <c r="U94" i="3"/>
  <c r="O94" i="3"/>
  <c r="Q94" i="3"/>
  <c r="R94" i="3"/>
  <c r="M94" i="3"/>
  <c r="N94" i="3"/>
  <c r="P94" i="3"/>
  <c r="L36" i="3"/>
  <c r="S35" i="3"/>
  <c r="T35" i="3"/>
  <c r="U35" i="3"/>
  <c r="O35" i="3"/>
  <c r="Q35" i="3"/>
  <c r="R35" i="3"/>
  <c r="N35" i="3"/>
  <c r="P35" i="3"/>
  <c r="M35" i="3"/>
  <c r="AQ2" i="3" l="1"/>
  <c r="E18" i="2"/>
  <c r="AN62" i="3"/>
  <c r="AN34" i="3"/>
  <c r="AN3" i="3"/>
  <c r="AN93" i="3"/>
  <c r="AM93" i="3"/>
  <c r="AD35" i="3"/>
  <c r="AO35" i="3"/>
  <c r="X94" i="3"/>
  <c r="AB4" i="3"/>
  <c r="AM4" i="3"/>
  <c r="W63" i="3"/>
  <c r="AH63" i="3"/>
  <c r="AC63" i="3"/>
  <c r="AN63" i="3"/>
  <c r="AE35" i="3"/>
  <c r="AP35" i="3"/>
  <c r="W35" i="3"/>
  <c r="AH35" i="3"/>
  <c r="AC35" i="3"/>
  <c r="AN35" i="3"/>
  <c r="W94" i="3"/>
  <c r="AH94" i="3"/>
  <c r="AA4" i="3"/>
  <c r="Z63" i="3"/>
  <c r="Z35" i="3"/>
  <c r="AB94" i="3"/>
  <c r="AM94" i="3"/>
  <c r="Y4" i="3"/>
  <c r="X63" i="3"/>
  <c r="Z94" i="3"/>
  <c r="X35" i="3"/>
  <c r="AI35" i="3"/>
  <c r="AA94" i="3"/>
  <c r="AE4" i="3"/>
  <c r="AP4" i="3"/>
  <c r="AB63" i="3"/>
  <c r="AM63" i="3"/>
  <c r="AC94" i="3"/>
  <c r="AN94" i="3"/>
  <c r="X4" i="3"/>
  <c r="AI4" i="3"/>
  <c r="AB35" i="3"/>
  <c r="AM35" i="3"/>
  <c r="Y94" i="3"/>
  <c r="AD4" i="3"/>
  <c r="AO4" i="3"/>
  <c r="AA63" i="3"/>
  <c r="AA35" i="3"/>
  <c r="AE94" i="3"/>
  <c r="AP94" i="3"/>
  <c r="W4" i="3"/>
  <c r="AH4" i="3"/>
  <c r="AC4" i="3"/>
  <c r="AN4" i="3"/>
  <c r="Y63" i="3"/>
  <c r="AD63" i="3"/>
  <c r="AO63" i="3"/>
  <c r="Y35" i="3"/>
  <c r="AD94" i="3"/>
  <c r="AO94" i="3"/>
  <c r="Z4" i="3"/>
  <c r="AE63" i="3"/>
  <c r="AP63" i="3"/>
  <c r="L6" i="3"/>
  <c r="S5" i="3"/>
  <c r="T5" i="3"/>
  <c r="U5" i="3"/>
  <c r="O5" i="3"/>
  <c r="Q5" i="3"/>
  <c r="R5" i="3"/>
  <c r="M5" i="3"/>
  <c r="N5" i="3"/>
  <c r="P5" i="3"/>
  <c r="L96" i="3"/>
  <c r="S95" i="3"/>
  <c r="T95" i="3"/>
  <c r="U95" i="3"/>
  <c r="O95" i="3"/>
  <c r="Q95" i="3"/>
  <c r="R95" i="3"/>
  <c r="N95" i="3"/>
  <c r="P95" i="3"/>
  <c r="M95" i="3"/>
  <c r="L65" i="3"/>
  <c r="S64" i="3"/>
  <c r="T64" i="3"/>
  <c r="U64" i="3"/>
  <c r="O64" i="3"/>
  <c r="Q64" i="3"/>
  <c r="R64" i="3"/>
  <c r="N64" i="3"/>
  <c r="P64" i="3"/>
  <c r="M64" i="3"/>
  <c r="L37" i="3"/>
  <c r="S36" i="3"/>
  <c r="T36" i="3"/>
  <c r="U36" i="3"/>
  <c r="O36" i="3"/>
  <c r="Q36" i="3"/>
  <c r="R36" i="3"/>
  <c r="N36" i="3"/>
  <c r="P36" i="3"/>
  <c r="M36" i="3"/>
  <c r="AI63" i="3" l="1"/>
  <c r="AI94" i="3"/>
  <c r="AI93" i="3"/>
  <c r="AI34" i="3"/>
  <c r="AI62" i="3"/>
  <c r="AI3" i="3"/>
  <c r="AK94" i="3"/>
  <c r="AK4" i="3"/>
  <c r="AK35" i="3"/>
  <c r="AK63" i="3"/>
  <c r="AK62" i="3"/>
  <c r="AM3" i="3"/>
  <c r="AK34" i="3"/>
  <c r="AK93" i="3"/>
  <c r="AK3" i="3"/>
  <c r="AM62" i="3"/>
  <c r="AM34" i="3"/>
  <c r="AL4" i="3"/>
  <c r="AL35" i="3"/>
  <c r="AL63" i="3"/>
  <c r="AL94" i="3"/>
  <c r="AL34" i="3"/>
  <c r="AL3" i="3"/>
  <c r="AL62" i="3"/>
  <c r="AL93" i="3"/>
  <c r="AJ35" i="3"/>
  <c r="AJ94" i="3"/>
  <c r="AJ63" i="3"/>
  <c r="AJ4" i="3"/>
  <c r="AJ62" i="3"/>
  <c r="AJ93" i="3"/>
  <c r="AJ34" i="3"/>
  <c r="AJ3" i="3"/>
  <c r="W5" i="3"/>
  <c r="AH5" i="3"/>
  <c r="Y64" i="3"/>
  <c r="AJ64" i="3"/>
  <c r="AD64" i="3"/>
  <c r="AO64" i="3"/>
  <c r="AB95" i="3"/>
  <c r="AM95" i="3"/>
  <c r="AB5" i="3"/>
  <c r="AM5" i="3"/>
  <c r="W95" i="3"/>
  <c r="AH95" i="3"/>
  <c r="Z95" i="3"/>
  <c r="AK95" i="3"/>
  <c r="AE64" i="3"/>
  <c r="AP64" i="3"/>
  <c r="AC64" i="3"/>
  <c r="AN64" i="3"/>
  <c r="AA95" i="3"/>
  <c r="AL95" i="3"/>
  <c r="AA5" i="3"/>
  <c r="AL5" i="3"/>
  <c r="AA64" i="3"/>
  <c r="AL64" i="3"/>
  <c r="W36" i="3"/>
  <c r="AH36" i="3"/>
  <c r="Z36" i="3"/>
  <c r="AK36" i="3"/>
  <c r="Z64" i="3"/>
  <c r="AK64" i="3"/>
  <c r="Y95" i="3"/>
  <c r="AJ95" i="3"/>
  <c r="Y5" i="3"/>
  <c r="AJ5" i="3"/>
  <c r="AC5" i="3"/>
  <c r="AN5" i="3"/>
  <c r="X5" i="3"/>
  <c r="AI5" i="3"/>
  <c r="AE36" i="3"/>
  <c r="AP36" i="3"/>
  <c r="X95" i="3"/>
  <c r="AI95" i="3"/>
  <c r="AD36" i="3"/>
  <c r="AO36" i="3"/>
  <c r="X36" i="3"/>
  <c r="AI36" i="3"/>
  <c r="X64" i="3"/>
  <c r="AI64" i="3"/>
  <c r="AE95" i="3"/>
  <c r="AP95" i="3"/>
  <c r="AE5" i="3"/>
  <c r="AP5" i="3"/>
  <c r="AA36" i="3"/>
  <c r="AL36" i="3"/>
  <c r="AC95" i="3"/>
  <c r="AN95" i="3"/>
  <c r="Z5" i="3"/>
  <c r="AK5" i="3"/>
  <c r="Y36" i="3"/>
  <c r="AJ36" i="3"/>
  <c r="AC36" i="3"/>
  <c r="AN36" i="3"/>
  <c r="W64" i="3"/>
  <c r="AH64" i="3"/>
  <c r="AB36" i="3"/>
  <c r="AM36" i="3"/>
  <c r="AB64" i="3"/>
  <c r="AM64" i="3"/>
  <c r="AD95" i="3"/>
  <c r="AO95" i="3"/>
  <c r="AD5" i="3"/>
  <c r="AO5" i="3"/>
  <c r="L38" i="3"/>
  <c r="S37" i="3"/>
  <c r="T37" i="3"/>
  <c r="U37" i="3"/>
  <c r="O37" i="3"/>
  <c r="Q37" i="3"/>
  <c r="R37" i="3"/>
  <c r="M37" i="3"/>
  <c r="N37" i="3"/>
  <c r="P37" i="3"/>
  <c r="L66" i="3"/>
  <c r="S65" i="3"/>
  <c r="T65" i="3"/>
  <c r="U65" i="3"/>
  <c r="O65" i="3"/>
  <c r="Q65" i="3"/>
  <c r="R65" i="3"/>
  <c r="N65" i="3"/>
  <c r="M65" i="3"/>
  <c r="P65" i="3"/>
  <c r="L97" i="3"/>
  <c r="S96" i="3"/>
  <c r="T96" i="3"/>
  <c r="U96" i="3"/>
  <c r="O96" i="3"/>
  <c r="Q96" i="3"/>
  <c r="R96" i="3"/>
  <c r="N96" i="3"/>
  <c r="P96" i="3"/>
  <c r="M96" i="3"/>
  <c r="L7" i="3"/>
  <c r="S6" i="3"/>
  <c r="T6" i="3"/>
  <c r="U6" i="3"/>
  <c r="O6" i="3"/>
  <c r="Q6" i="3"/>
  <c r="R6" i="3"/>
  <c r="M6" i="3"/>
  <c r="N6" i="3"/>
  <c r="P6" i="3"/>
  <c r="AA65" i="3" l="1"/>
  <c r="AL65" i="3"/>
  <c r="Y65" i="3"/>
  <c r="AJ65" i="3"/>
  <c r="AD6" i="3"/>
  <c r="AO6" i="3"/>
  <c r="AD96" i="3"/>
  <c r="AO96" i="3"/>
  <c r="AE65" i="3"/>
  <c r="AP65" i="3"/>
  <c r="Z37" i="3"/>
  <c r="AK37" i="3"/>
  <c r="AC37" i="3"/>
  <c r="AN37" i="3"/>
  <c r="Y96" i="3"/>
  <c r="AJ96" i="3"/>
  <c r="Z6" i="3"/>
  <c r="AK6" i="3"/>
  <c r="AC6" i="3"/>
  <c r="AN6" i="3"/>
  <c r="W96" i="3"/>
  <c r="AH96" i="3"/>
  <c r="AC96" i="3"/>
  <c r="AN96" i="3"/>
  <c r="AD65" i="3"/>
  <c r="AO65" i="3"/>
  <c r="X37" i="3"/>
  <c r="AI37" i="3"/>
  <c r="Y6" i="3"/>
  <c r="AJ6" i="3"/>
  <c r="AD37" i="3"/>
  <c r="AO37" i="3"/>
  <c r="X6" i="3"/>
  <c r="AI6" i="3"/>
  <c r="Z96" i="3"/>
  <c r="AK96" i="3"/>
  <c r="Z65" i="3"/>
  <c r="AK65" i="3"/>
  <c r="AC65" i="3"/>
  <c r="AN65" i="3"/>
  <c r="W37" i="3"/>
  <c r="AH37" i="3"/>
  <c r="AE37" i="3"/>
  <c r="AP37" i="3"/>
  <c r="W6" i="3"/>
  <c r="AH6" i="3"/>
  <c r="X96" i="3"/>
  <c r="AI96" i="3"/>
  <c r="W65" i="3"/>
  <c r="AH65" i="3"/>
  <c r="AB37" i="3"/>
  <c r="AM37" i="3"/>
  <c r="AE6" i="3"/>
  <c r="AP6" i="3"/>
  <c r="AE96" i="3"/>
  <c r="AP96" i="3"/>
  <c r="AB6" i="3"/>
  <c r="AM6" i="3"/>
  <c r="AB96" i="3"/>
  <c r="AM96" i="3"/>
  <c r="X65" i="3"/>
  <c r="AI65" i="3"/>
  <c r="AA37" i="3"/>
  <c r="AL37" i="3"/>
  <c r="AA6" i="3"/>
  <c r="AL6" i="3"/>
  <c r="AA96" i="3"/>
  <c r="AL96" i="3"/>
  <c r="AB65" i="3"/>
  <c r="AM65" i="3"/>
  <c r="Y37" i="3"/>
  <c r="AJ37" i="3"/>
  <c r="L98" i="3"/>
  <c r="S97" i="3"/>
  <c r="T97" i="3"/>
  <c r="U97" i="3"/>
  <c r="O97" i="3"/>
  <c r="Q97" i="3"/>
  <c r="R97" i="3"/>
  <c r="N97" i="3"/>
  <c r="M97" i="3"/>
  <c r="P97" i="3"/>
  <c r="L67" i="3"/>
  <c r="S66" i="3"/>
  <c r="T66" i="3"/>
  <c r="U66" i="3"/>
  <c r="O66" i="3"/>
  <c r="Q66" i="3"/>
  <c r="R66" i="3"/>
  <c r="M66" i="3"/>
  <c r="N66" i="3"/>
  <c r="P66" i="3"/>
  <c r="L8" i="3"/>
  <c r="S7" i="3"/>
  <c r="T7" i="3"/>
  <c r="U7" i="3"/>
  <c r="O7" i="3"/>
  <c r="Q7" i="3"/>
  <c r="R7" i="3"/>
  <c r="N7" i="3"/>
  <c r="P7" i="3"/>
  <c r="M7" i="3"/>
  <c r="L39" i="3"/>
  <c r="S38" i="3"/>
  <c r="T38" i="3"/>
  <c r="U38" i="3"/>
  <c r="O38" i="3"/>
  <c r="Q38" i="3"/>
  <c r="R38" i="3"/>
  <c r="M38" i="3"/>
  <c r="N38" i="3"/>
  <c r="P38" i="3"/>
  <c r="X38" i="3" l="1"/>
  <c r="AI38" i="3"/>
  <c r="W7" i="3"/>
  <c r="AH7" i="3"/>
  <c r="AC7" i="3"/>
  <c r="AN7" i="3"/>
  <c r="W66" i="3"/>
  <c r="AH66" i="3"/>
  <c r="Y97" i="3"/>
  <c r="AJ97" i="3"/>
  <c r="W38" i="3"/>
  <c r="AH38" i="3"/>
  <c r="Z7" i="3"/>
  <c r="AK7" i="3"/>
  <c r="AB66" i="3"/>
  <c r="AM66" i="3"/>
  <c r="AE97" i="3"/>
  <c r="AP97" i="3"/>
  <c r="AB7" i="3"/>
  <c r="AM7" i="3"/>
  <c r="Y66" i="3"/>
  <c r="AJ66" i="3"/>
  <c r="Z97" i="3"/>
  <c r="AK97" i="3"/>
  <c r="AC97" i="3"/>
  <c r="AN97" i="3"/>
  <c r="AA66" i="3"/>
  <c r="AL66" i="3"/>
  <c r="AA38" i="3"/>
  <c r="AL38" i="3"/>
  <c r="AA7" i="3"/>
  <c r="AL7" i="3"/>
  <c r="AE66" i="3"/>
  <c r="AP66" i="3"/>
  <c r="W97" i="3"/>
  <c r="AH97" i="3"/>
  <c r="AB38" i="3"/>
  <c r="AM38" i="3"/>
  <c r="X7" i="3"/>
  <c r="AI7" i="3"/>
  <c r="Y7" i="3"/>
  <c r="AJ7" i="3"/>
  <c r="AD66" i="3"/>
  <c r="AO66" i="3"/>
  <c r="X97" i="3"/>
  <c r="AI97" i="3"/>
  <c r="AD97" i="3"/>
  <c r="AO97" i="3"/>
  <c r="AE38" i="3"/>
  <c r="AP38" i="3"/>
  <c r="AD38" i="3"/>
  <c r="AO38" i="3"/>
  <c r="AE7" i="3"/>
  <c r="AP7" i="3"/>
  <c r="Z66" i="3"/>
  <c r="AK66" i="3"/>
  <c r="AC66" i="3"/>
  <c r="AN66" i="3"/>
  <c r="AB97" i="3"/>
  <c r="AM97" i="3"/>
  <c r="Y38" i="3"/>
  <c r="AJ38" i="3"/>
  <c r="Z38" i="3"/>
  <c r="AK38" i="3"/>
  <c r="AC38" i="3"/>
  <c r="AN38" i="3"/>
  <c r="AD7" i="3"/>
  <c r="AO7" i="3"/>
  <c r="X66" i="3"/>
  <c r="AI66" i="3"/>
  <c r="AA97" i="3"/>
  <c r="AL97" i="3"/>
  <c r="L99" i="3"/>
  <c r="S98" i="3"/>
  <c r="T98" i="3"/>
  <c r="U98" i="3"/>
  <c r="O98" i="3"/>
  <c r="Q98" i="3"/>
  <c r="R98" i="3"/>
  <c r="M98" i="3"/>
  <c r="N98" i="3"/>
  <c r="P98" i="3"/>
  <c r="L40" i="3"/>
  <c r="S39" i="3"/>
  <c r="T39" i="3"/>
  <c r="U39" i="3"/>
  <c r="O39" i="3"/>
  <c r="Q39" i="3"/>
  <c r="R39" i="3"/>
  <c r="N39" i="3"/>
  <c r="P39" i="3"/>
  <c r="M39" i="3"/>
  <c r="L68" i="3"/>
  <c r="S67" i="3"/>
  <c r="T67" i="3"/>
  <c r="U67" i="3"/>
  <c r="O67" i="3"/>
  <c r="Q67" i="3"/>
  <c r="R67" i="3"/>
  <c r="N67" i="3"/>
  <c r="P67" i="3"/>
  <c r="M67" i="3"/>
  <c r="L9" i="3"/>
  <c r="S8" i="3"/>
  <c r="T8" i="3"/>
  <c r="U8" i="3"/>
  <c r="O8" i="3"/>
  <c r="Q8" i="3"/>
  <c r="R8" i="3"/>
  <c r="N8" i="3"/>
  <c r="P8" i="3"/>
  <c r="M8" i="3"/>
  <c r="Z8" i="3" l="1"/>
  <c r="AK8" i="3"/>
  <c r="Z67" i="3"/>
  <c r="AK67" i="3"/>
  <c r="AA39" i="3"/>
  <c r="AL39" i="3"/>
  <c r="AA98" i="3"/>
  <c r="AL98" i="3"/>
  <c r="W98" i="3"/>
  <c r="AH98" i="3"/>
  <c r="Y39" i="3"/>
  <c r="AJ39" i="3"/>
  <c r="Y98" i="3"/>
  <c r="AJ98" i="3"/>
  <c r="AB8" i="3"/>
  <c r="AM8" i="3"/>
  <c r="AB67" i="3"/>
  <c r="AM67" i="3"/>
  <c r="AE39" i="3"/>
  <c r="AP39" i="3"/>
  <c r="AE98" i="3"/>
  <c r="AP98" i="3"/>
  <c r="X8" i="3"/>
  <c r="AI8" i="3"/>
  <c r="AA8" i="3"/>
  <c r="AL8" i="3"/>
  <c r="AA67" i="3"/>
  <c r="AL67" i="3"/>
  <c r="AD39" i="3"/>
  <c r="AO39" i="3"/>
  <c r="AD98" i="3"/>
  <c r="AO98" i="3"/>
  <c r="Y8" i="3"/>
  <c r="AJ8" i="3"/>
  <c r="Y67" i="3"/>
  <c r="AJ67" i="3"/>
  <c r="W39" i="3"/>
  <c r="AH39" i="3"/>
  <c r="AC39" i="3"/>
  <c r="AN39" i="3"/>
  <c r="Z98" i="3"/>
  <c r="AK98" i="3"/>
  <c r="AC98" i="3"/>
  <c r="AN98" i="3"/>
  <c r="AD67" i="3"/>
  <c r="AO67" i="3"/>
  <c r="X39" i="3"/>
  <c r="AI39" i="3"/>
  <c r="X67" i="3"/>
  <c r="AI67" i="3"/>
  <c r="AE8" i="3"/>
  <c r="AP8" i="3"/>
  <c r="AE67" i="3"/>
  <c r="AP67" i="3"/>
  <c r="Z39" i="3"/>
  <c r="AK39" i="3"/>
  <c r="X98" i="3"/>
  <c r="AI98" i="3"/>
  <c r="AD8" i="3"/>
  <c r="AO8" i="3"/>
  <c r="W8" i="3"/>
  <c r="AH8" i="3"/>
  <c r="AC8" i="3"/>
  <c r="AN8" i="3"/>
  <c r="W67" i="3"/>
  <c r="AH67" i="3"/>
  <c r="AC67" i="3"/>
  <c r="AN67" i="3"/>
  <c r="AB39" i="3"/>
  <c r="AM39" i="3"/>
  <c r="AB98" i="3"/>
  <c r="AM98" i="3"/>
  <c r="L10" i="3"/>
  <c r="S9" i="3"/>
  <c r="T9" i="3"/>
  <c r="U9" i="3"/>
  <c r="O9" i="3"/>
  <c r="Q9" i="3"/>
  <c r="R9" i="3"/>
  <c r="N9" i="3"/>
  <c r="M9" i="3"/>
  <c r="P9" i="3"/>
  <c r="L69" i="3"/>
  <c r="S68" i="3"/>
  <c r="T68" i="3"/>
  <c r="U68" i="3"/>
  <c r="O68" i="3"/>
  <c r="Q68" i="3"/>
  <c r="R68" i="3"/>
  <c r="N68" i="3"/>
  <c r="P68" i="3"/>
  <c r="M68" i="3"/>
  <c r="L41" i="3"/>
  <c r="S40" i="3"/>
  <c r="T40" i="3"/>
  <c r="U40" i="3"/>
  <c r="O40" i="3"/>
  <c r="Q40" i="3"/>
  <c r="R40" i="3"/>
  <c r="N40" i="3"/>
  <c r="P40" i="3"/>
  <c r="M40" i="3"/>
  <c r="L100" i="3"/>
  <c r="S99" i="3"/>
  <c r="T99" i="3"/>
  <c r="U99" i="3"/>
  <c r="O99" i="3"/>
  <c r="Q99" i="3"/>
  <c r="R99" i="3"/>
  <c r="N99" i="3"/>
  <c r="P99" i="3"/>
  <c r="M99" i="3"/>
  <c r="Y99" i="3" l="1"/>
  <c r="AJ99" i="3"/>
  <c r="AE99" i="3"/>
  <c r="AP99" i="3"/>
  <c r="AA68" i="3"/>
  <c r="AL68" i="3"/>
  <c r="AD99" i="3"/>
  <c r="AO99" i="3"/>
  <c r="Y40" i="3"/>
  <c r="AJ40" i="3"/>
  <c r="Y68" i="3"/>
  <c r="AJ68" i="3"/>
  <c r="AD9" i="3"/>
  <c r="AO9" i="3"/>
  <c r="AE9" i="3"/>
  <c r="AP9" i="3"/>
  <c r="W99" i="3"/>
  <c r="AH99" i="3"/>
  <c r="AC99" i="3"/>
  <c r="AN99" i="3"/>
  <c r="AE40" i="3"/>
  <c r="AP40" i="3"/>
  <c r="AE68" i="3"/>
  <c r="AP68" i="3"/>
  <c r="Z9" i="3"/>
  <c r="AK9" i="3"/>
  <c r="AC9" i="3"/>
  <c r="AN9" i="3"/>
  <c r="Y9" i="3"/>
  <c r="AJ9" i="3"/>
  <c r="AA40" i="3"/>
  <c r="AL40" i="3"/>
  <c r="Z99" i="3"/>
  <c r="AK99" i="3"/>
  <c r="AD40" i="3"/>
  <c r="AO40" i="3"/>
  <c r="AD68" i="3"/>
  <c r="AO68" i="3"/>
  <c r="W9" i="3"/>
  <c r="AH9" i="3"/>
  <c r="X99" i="3"/>
  <c r="AI99" i="3"/>
  <c r="W40" i="3"/>
  <c r="AH40" i="3"/>
  <c r="AC40" i="3"/>
  <c r="AN40" i="3"/>
  <c r="W68" i="3"/>
  <c r="AH68" i="3"/>
  <c r="AC68" i="3"/>
  <c r="AN68" i="3"/>
  <c r="X9" i="3"/>
  <c r="AI9" i="3"/>
  <c r="AB40" i="3"/>
  <c r="AM40" i="3"/>
  <c r="AB99" i="3"/>
  <c r="AM99" i="3"/>
  <c r="Z40" i="3"/>
  <c r="AK40" i="3"/>
  <c r="Z68" i="3"/>
  <c r="AK68" i="3"/>
  <c r="AB9" i="3"/>
  <c r="AM9" i="3"/>
  <c r="AB68" i="3"/>
  <c r="AM68" i="3"/>
  <c r="AA99" i="3"/>
  <c r="AL99" i="3"/>
  <c r="X40" i="3"/>
  <c r="AI40" i="3"/>
  <c r="X68" i="3"/>
  <c r="AI68" i="3"/>
  <c r="AA9" i="3"/>
  <c r="AL9" i="3"/>
  <c r="L42" i="3"/>
  <c r="S41" i="3"/>
  <c r="T41" i="3"/>
  <c r="U41" i="3"/>
  <c r="O41" i="3"/>
  <c r="Q41" i="3"/>
  <c r="R41" i="3"/>
  <c r="N41" i="3"/>
  <c r="M41" i="3"/>
  <c r="P41" i="3"/>
  <c r="L70" i="3"/>
  <c r="S69" i="3"/>
  <c r="T69" i="3"/>
  <c r="U69" i="3"/>
  <c r="O69" i="3"/>
  <c r="Q69" i="3"/>
  <c r="R69" i="3"/>
  <c r="M69" i="3"/>
  <c r="N69" i="3"/>
  <c r="P69" i="3"/>
  <c r="L101" i="3"/>
  <c r="S100" i="3"/>
  <c r="T100" i="3"/>
  <c r="U100" i="3"/>
  <c r="O100" i="3"/>
  <c r="Q100" i="3"/>
  <c r="R100" i="3"/>
  <c r="N100" i="3"/>
  <c r="P100" i="3"/>
  <c r="M100" i="3"/>
  <c r="L11" i="3"/>
  <c r="S10" i="3"/>
  <c r="T10" i="3"/>
  <c r="U10" i="3"/>
  <c r="O10" i="3"/>
  <c r="Q10" i="3"/>
  <c r="R10" i="3"/>
  <c r="M10" i="3"/>
  <c r="N10" i="3"/>
  <c r="P10" i="3"/>
  <c r="AC10" i="3" l="1"/>
  <c r="AN10" i="3"/>
  <c r="X100" i="3"/>
  <c r="AI100" i="3"/>
  <c r="W69" i="3"/>
  <c r="AH69" i="3"/>
  <c r="AE41" i="3"/>
  <c r="AP41" i="3"/>
  <c r="AD10" i="3"/>
  <c r="AO10" i="3"/>
  <c r="Z10" i="3"/>
  <c r="AK10" i="3"/>
  <c r="X10" i="3"/>
  <c r="AI10" i="3"/>
  <c r="AB100" i="3"/>
  <c r="AM100" i="3"/>
  <c r="AB69" i="3"/>
  <c r="AM69" i="3"/>
  <c r="AD41" i="3"/>
  <c r="AO41" i="3"/>
  <c r="Y41" i="3"/>
  <c r="AJ41" i="3"/>
  <c r="W10" i="3"/>
  <c r="AH10" i="3"/>
  <c r="AA100" i="3"/>
  <c r="AL100" i="3"/>
  <c r="AA69" i="3"/>
  <c r="AL69" i="3"/>
  <c r="Z41" i="3"/>
  <c r="AK41" i="3"/>
  <c r="AC41" i="3"/>
  <c r="AN41" i="3"/>
  <c r="AB10" i="3"/>
  <c r="AM10" i="3"/>
  <c r="AA10" i="3"/>
  <c r="AL10" i="3"/>
  <c r="AE100" i="3"/>
  <c r="AP100" i="3"/>
  <c r="AE69" i="3"/>
  <c r="AP69" i="3"/>
  <c r="X41" i="3"/>
  <c r="AI41" i="3"/>
  <c r="X69" i="3"/>
  <c r="AI69" i="3"/>
  <c r="Y69" i="3"/>
  <c r="AJ69" i="3"/>
  <c r="AD100" i="3"/>
  <c r="AO100" i="3"/>
  <c r="AD69" i="3"/>
  <c r="AO69" i="3"/>
  <c r="AB41" i="3"/>
  <c r="AM41" i="3"/>
  <c r="Z100" i="3"/>
  <c r="AK100" i="3"/>
  <c r="Y100" i="3"/>
  <c r="AJ100" i="3"/>
  <c r="W41" i="3"/>
  <c r="AH41" i="3"/>
  <c r="Y10" i="3"/>
  <c r="AJ10" i="3"/>
  <c r="AE10" i="3"/>
  <c r="AP10" i="3"/>
  <c r="W100" i="3"/>
  <c r="AH100" i="3"/>
  <c r="AC100" i="3"/>
  <c r="AN100" i="3"/>
  <c r="Z69" i="3"/>
  <c r="AK69" i="3"/>
  <c r="AC69" i="3"/>
  <c r="AN69" i="3"/>
  <c r="AA41" i="3"/>
  <c r="AL41" i="3"/>
  <c r="L71" i="3"/>
  <c r="S70" i="3"/>
  <c r="T70" i="3"/>
  <c r="U70" i="3"/>
  <c r="O70" i="3"/>
  <c r="Q70" i="3"/>
  <c r="R70" i="3"/>
  <c r="M70" i="3"/>
  <c r="N70" i="3"/>
  <c r="P70" i="3"/>
  <c r="L102" i="3"/>
  <c r="S101" i="3"/>
  <c r="T101" i="3"/>
  <c r="U101" i="3"/>
  <c r="O101" i="3"/>
  <c r="Q101" i="3"/>
  <c r="R101" i="3"/>
  <c r="M101" i="3"/>
  <c r="N101" i="3"/>
  <c r="P101" i="3"/>
  <c r="L43" i="3"/>
  <c r="S42" i="3"/>
  <c r="T42" i="3"/>
  <c r="U42" i="3"/>
  <c r="O42" i="3"/>
  <c r="Q42" i="3"/>
  <c r="R42" i="3"/>
  <c r="M42" i="3"/>
  <c r="N42" i="3"/>
  <c r="P42" i="3"/>
  <c r="L12" i="3"/>
  <c r="S11" i="3"/>
  <c r="T11" i="3"/>
  <c r="U11" i="3"/>
  <c r="O11" i="3"/>
  <c r="Q11" i="3"/>
  <c r="R11" i="3"/>
  <c r="N11" i="3"/>
  <c r="P11" i="3"/>
  <c r="M11" i="3"/>
  <c r="AB42" i="3" l="1"/>
  <c r="AM42" i="3"/>
  <c r="AE101" i="3"/>
  <c r="AP101" i="3"/>
  <c r="AA70" i="3"/>
  <c r="AL70" i="3"/>
  <c r="W11" i="3"/>
  <c r="AH11" i="3"/>
  <c r="AC11" i="3"/>
  <c r="AN11" i="3"/>
  <c r="AA42" i="3"/>
  <c r="AL42" i="3"/>
  <c r="AD101" i="3"/>
  <c r="AO101" i="3"/>
  <c r="Y70" i="3"/>
  <c r="AJ70" i="3"/>
  <c r="W42" i="3"/>
  <c r="AH42" i="3"/>
  <c r="Z11" i="3"/>
  <c r="AK11" i="3"/>
  <c r="Y42" i="3"/>
  <c r="AJ42" i="3"/>
  <c r="Z101" i="3"/>
  <c r="AK101" i="3"/>
  <c r="AC101" i="3"/>
  <c r="AN101" i="3"/>
  <c r="AE70" i="3"/>
  <c r="AP70" i="3"/>
  <c r="AB70" i="3"/>
  <c r="AM70" i="3"/>
  <c r="X11" i="3"/>
  <c r="AI11" i="3"/>
  <c r="AE42" i="3"/>
  <c r="AP42" i="3"/>
  <c r="X101" i="3"/>
  <c r="AI101" i="3"/>
  <c r="AD70" i="3"/>
  <c r="AO70" i="3"/>
  <c r="AE11" i="3"/>
  <c r="AP11" i="3"/>
  <c r="AB11" i="3"/>
  <c r="AM11" i="3"/>
  <c r="AD42" i="3"/>
  <c r="AO42" i="3"/>
  <c r="W101" i="3"/>
  <c r="AH101" i="3"/>
  <c r="Z70" i="3"/>
  <c r="AK70" i="3"/>
  <c r="AC70" i="3"/>
  <c r="AN70" i="3"/>
  <c r="Y101" i="3"/>
  <c r="AJ101" i="3"/>
  <c r="AD11" i="3"/>
  <c r="AO11" i="3"/>
  <c r="AA11" i="3"/>
  <c r="AL11" i="3"/>
  <c r="Z42" i="3"/>
  <c r="AK42" i="3"/>
  <c r="AC42" i="3"/>
  <c r="AN42" i="3"/>
  <c r="AB101" i="3"/>
  <c r="AM101" i="3"/>
  <c r="X70" i="3"/>
  <c r="AI70" i="3"/>
  <c r="Y11" i="3"/>
  <c r="AJ11" i="3"/>
  <c r="X42" i="3"/>
  <c r="AI42" i="3"/>
  <c r="AA101" i="3"/>
  <c r="AL101" i="3"/>
  <c r="W70" i="3"/>
  <c r="AH70" i="3"/>
  <c r="L72" i="3"/>
  <c r="S71" i="3"/>
  <c r="T71" i="3"/>
  <c r="U71" i="3"/>
  <c r="O71" i="3"/>
  <c r="Q71" i="3"/>
  <c r="R71" i="3"/>
  <c r="N71" i="3"/>
  <c r="P71" i="3"/>
  <c r="M71" i="3"/>
  <c r="L44" i="3"/>
  <c r="S43" i="3"/>
  <c r="T43" i="3"/>
  <c r="U43" i="3"/>
  <c r="O43" i="3"/>
  <c r="Q43" i="3"/>
  <c r="R43" i="3"/>
  <c r="N43" i="3"/>
  <c r="P43" i="3"/>
  <c r="M43" i="3"/>
  <c r="L13" i="3"/>
  <c r="S12" i="3"/>
  <c r="T12" i="3"/>
  <c r="U12" i="3"/>
  <c r="O12" i="3"/>
  <c r="Q12" i="3"/>
  <c r="R12" i="3"/>
  <c r="N12" i="3"/>
  <c r="P12" i="3"/>
  <c r="M12" i="3"/>
  <c r="L103" i="3"/>
  <c r="S102" i="3"/>
  <c r="T102" i="3"/>
  <c r="U102" i="3"/>
  <c r="O102" i="3"/>
  <c r="Q102" i="3"/>
  <c r="R102" i="3"/>
  <c r="M102" i="3"/>
  <c r="N102" i="3"/>
  <c r="P102" i="3"/>
  <c r="AB71" i="3" l="1"/>
  <c r="AM71" i="3"/>
  <c r="AA102" i="3"/>
  <c r="AL102" i="3"/>
  <c r="AD102" i="3"/>
  <c r="AO102" i="3"/>
  <c r="AB12" i="3"/>
  <c r="AM12" i="3"/>
  <c r="W43" i="3"/>
  <c r="AH43" i="3"/>
  <c r="AC43" i="3"/>
  <c r="AN43" i="3"/>
  <c r="Z71" i="3"/>
  <c r="AK71" i="3"/>
  <c r="W12" i="3"/>
  <c r="AH12" i="3"/>
  <c r="Z102" i="3"/>
  <c r="AK102" i="3"/>
  <c r="AC102" i="3"/>
  <c r="AN102" i="3"/>
  <c r="AA12" i="3"/>
  <c r="AL12" i="3"/>
  <c r="Z43" i="3"/>
  <c r="AK43" i="3"/>
  <c r="X71" i="3"/>
  <c r="AI71" i="3"/>
  <c r="W102" i="3"/>
  <c r="AH102" i="3"/>
  <c r="AE12" i="3"/>
  <c r="AP12" i="3"/>
  <c r="AB43" i="3"/>
  <c r="AM43" i="3"/>
  <c r="AA71" i="3"/>
  <c r="AL71" i="3"/>
  <c r="AB102" i="3"/>
  <c r="AM102" i="3"/>
  <c r="AD12" i="3"/>
  <c r="AO12" i="3"/>
  <c r="AA43" i="3"/>
  <c r="AL43" i="3"/>
  <c r="Y71" i="3"/>
  <c r="AJ71" i="3"/>
  <c r="AE71" i="3"/>
  <c r="AP71" i="3"/>
  <c r="AC12" i="3"/>
  <c r="AN12" i="3"/>
  <c r="Y43" i="3"/>
  <c r="AJ43" i="3"/>
  <c r="Y102" i="3"/>
  <c r="AJ102" i="3"/>
  <c r="Z12" i="3"/>
  <c r="AK12" i="3"/>
  <c r="AE43" i="3"/>
  <c r="AP43" i="3"/>
  <c r="AD71" i="3"/>
  <c r="AO71" i="3"/>
  <c r="X102" i="3"/>
  <c r="AI102" i="3"/>
  <c r="Y12" i="3"/>
  <c r="AJ12" i="3"/>
  <c r="X43" i="3"/>
  <c r="AI43" i="3"/>
  <c r="AE102" i="3"/>
  <c r="AP102" i="3"/>
  <c r="X12" i="3"/>
  <c r="AI12" i="3"/>
  <c r="AD43" i="3"/>
  <c r="AO43" i="3"/>
  <c r="W71" i="3"/>
  <c r="AH71" i="3"/>
  <c r="AC71" i="3"/>
  <c r="AN71" i="3"/>
  <c r="L73" i="3"/>
  <c r="S72" i="3"/>
  <c r="T72" i="3"/>
  <c r="U72" i="3"/>
  <c r="O72" i="3"/>
  <c r="Q72" i="3"/>
  <c r="R72" i="3"/>
  <c r="N72" i="3"/>
  <c r="P72" i="3"/>
  <c r="M72" i="3"/>
  <c r="L104" i="3"/>
  <c r="S103" i="3"/>
  <c r="T103" i="3"/>
  <c r="U103" i="3"/>
  <c r="O103" i="3"/>
  <c r="Q103" i="3"/>
  <c r="R103" i="3"/>
  <c r="N103" i="3"/>
  <c r="P103" i="3"/>
  <c r="M103" i="3"/>
  <c r="L45" i="3"/>
  <c r="S44" i="3"/>
  <c r="T44" i="3"/>
  <c r="U44" i="3"/>
  <c r="O44" i="3"/>
  <c r="Q44" i="3"/>
  <c r="R44" i="3"/>
  <c r="N44" i="3"/>
  <c r="P44" i="3"/>
  <c r="M44" i="3"/>
  <c r="L14" i="3"/>
  <c r="S13" i="3"/>
  <c r="T13" i="3"/>
  <c r="U13" i="3"/>
  <c r="O13" i="3"/>
  <c r="Q13" i="3"/>
  <c r="R13" i="3"/>
  <c r="M13" i="3"/>
  <c r="N13" i="3"/>
  <c r="P13" i="3"/>
  <c r="Y13" i="3" l="1"/>
  <c r="AJ13" i="3"/>
  <c r="AD103" i="3"/>
  <c r="AO103" i="3"/>
  <c r="X44" i="3"/>
  <c r="AI44" i="3"/>
  <c r="AB44" i="3"/>
  <c r="AM44" i="3"/>
  <c r="X103" i="3"/>
  <c r="AI103" i="3"/>
  <c r="AE72" i="3"/>
  <c r="AP72" i="3"/>
  <c r="AC13" i="3"/>
  <c r="AN13" i="3"/>
  <c r="X13" i="3"/>
  <c r="AI13" i="3"/>
  <c r="AA44" i="3"/>
  <c r="AL44" i="3"/>
  <c r="AB103" i="3"/>
  <c r="AM103" i="3"/>
  <c r="AD72" i="3"/>
  <c r="AO72" i="3"/>
  <c r="W44" i="3"/>
  <c r="AH44" i="3"/>
  <c r="AB72" i="3"/>
  <c r="AM72" i="3"/>
  <c r="Z103" i="3"/>
  <c r="AK103" i="3"/>
  <c r="Z13" i="3"/>
  <c r="AK13" i="3"/>
  <c r="W13" i="3"/>
  <c r="AH13" i="3"/>
  <c r="Y44" i="3"/>
  <c r="AJ44" i="3"/>
  <c r="AA103" i="3"/>
  <c r="AL103" i="3"/>
  <c r="W72" i="3"/>
  <c r="AH72" i="3"/>
  <c r="AC72" i="3"/>
  <c r="AN72" i="3"/>
  <c r="AC44" i="3"/>
  <c r="AN44" i="3"/>
  <c r="AD13" i="3"/>
  <c r="AO13" i="3"/>
  <c r="Y72" i="3"/>
  <c r="AJ72" i="3"/>
  <c r="AB13" i="3"/>
  <c r="AM13" i="3"/>
  <c r="AE44" i="3"/>
  <c r="AP44" i="3"/>
  <c r="Y103" i="3"/>
  <c r="AJ103" i="3"/>
  <c r="Z72" i="3"/>
  <c r="AK72" i="3"/>
  <c r="AA13" i="3"/>
  <c r="AL13" i="3"/>
  <c r="AD44" i="3"/>
  <c r="AO44" i="3"/>
  <c r="AE103" i="3"/>
  <c r="AP103" i="3"/>
  <c r="X72" i="3"/>
  <c r="AI72" i="3"/>
  <c r="AE13" i="3"/>
  <c r="AP13" i="3"/>
  <c r="Z44" i="3"/>
  <c r="AK44" i="3"/>
  <c r="W103" i="3"/>
  <c r="AH103" i="3"/>
  <c r="AC103" i="3"/>
  <c r="AN103" i="3"/>
  <c r="AA72" i="3"/>
  <c r="AL72" i="3"/>
  <c r="L105" i="3"/>
  <c r="S104" i="3"/>
  <c r="T104" i="3"/>
  <c r="U104" i="3"/>
  <c r="O104" i="3"/>
  <c r="Q104" i="3"/>
  <c r="R104" i="3"/>
  <c r="N104" i="3"/>
  <c r="P104" i="3"/>
  <c r="M104" i="3"/>
  <c r="L46" i="3"/>
  <c r="S45" i="3"/>
  <c r="T45" i="3"/>
  <c r="U45" i="3"/>
  <c r="O45" i="3"/>
  <c r="Q45" i="3"/>
  <c r="R45" i="3"/>
  <c r="M45" i="3"/>
  <c r="N45" i="3"/>
  <c r="P45" i="3"/>
  <c r="L74" i="3"/>
  <c r="S73" i="3"/>
  <c r="T73" i="3"/>
  <c r="U73" i="3"/>
  <c r="O73" i="3"/>
  <c r="Q73" i="3"/>
  <c r="R73" i="3"/>
  <c r="N73" i="3"/>
  <c r="M73" i="3"/>
  <c r="P73" i="3"/>
  <c r="L15" i="3"/>
  <c r="S14" i="3"/>
  <c r="T14" i="3"/>
  <c r="U14" i="3"/>
  <c r="O14" i="3"/>
  <c r="Q14" i="3"/>
  <c r="R14" i="3"/>
  <c r="M14" i="3"/>
  <c r="N14" i="3"/>
  <c r="P14" i="3"/>
  <c r="AC104" i="3" l="1"/>
  <c r="AN104" i="3"/>
  <c r="AE14" i="3"/>
  <c r="AP14" i="3"/>
  <c r="X73" i="3"/>
  <c r="AI73" i="3"/>
  <c r="Z45" i="3"/>
  <c r="AK45" i="3"/>
  <c r="AC45" i="3"/>
  <c r="AN45" i="3"/>
  <c r="Z104" i="3"/>
  <c r="AK104" i="3"/>
  <c r="AD14" i="3"/>
  <c r="AO14" i="3"/>
  <c r="AB73" i="3"/>
  <c r="AM73" i="3"/>
  <c r="X45" i="3"/>
  <c r="AI45" i="3"/>
  <c r="X104" i="3"/>
  <c r="AI104" i="3"/>
  <c r="Y14" i="3"/>
  <c r="AJ14" i="3"/>
  <c r="Z14" i="3"/>
  <c r="AK14" i="3"/>
  <c r="AC14" i="3"/>
  <c r="AN14" i="3"/>
  <c r="AA73" i="3"/>
  <c r="AL73" i="3"/>
  <c r="W45" i="3"/>
  <c r="AH45" i="3"/>
  <c r="AB104" i="3"/>
  <c r="AM104" i="3"/>
  <c r="X14" i="3"/>
  <c r="AI14" i="3"/>
  <c r="Y73" i="3"/>
  <c r="AJ73" i="3"/>
  <c r="AB45" i="3"/>
  <c r="AM45" i="3"/>
  <c r="AA104" i="3"/>
  <c r="AL104" i="3"/>
  <c r="W14" i="3"/>
  <c r="AH14" i="3"/>
  <c r="AE73" i="3"/>
  <c r="AP73" i="3"/>
  <c r="AA45" i="3"/>
  <c r="AL45" i="3"/>
  <c r="Y104" i="3"/>
  <c r="AJ104" i="3"/>
  <c r="W104" i="3"/>
  <c r="AH104" i="3"/>
  <c r="AB14" i="3"/>
  <c r="AM14" i="3"/>
  <c r="AD73" i="3"/>
  <c r="AO73" i="3"/>
  <c r="Y45" i="3"/>
  <c r="AJ45" i="3"/>
  <c r="AE104" i="3"/>
  <c r="AP104" i="3"/>
  <c r="W73" i="3"/>
  <c r="AH73" i="3"/>
  <c r="AD45" i="3"/>
  <c r="AO45" i="3"/>
  <c r="AA14" i="3"/>
  <c r="AL14" i="3"/>
  <c r="Z73" i="3"/>
  <c r="AK73" i="3"/>
  <c r="AC73" i="3"/>
  <c r="AN73" i="3"/>
  <c r="AE45" i="3"/>
  <c r="AP45" i="3"/>
  <c r="AD104" i="3"/>
  <c r="AO104" i="3"/>
  <c r="L16" i="3"/>
  <c r="S15" i="3"/>
  <c r="T15" i="3"/>
  <c r="U15" i="3"/>
  <c r="O15" i="3"/>
  <c r="Q15" i="3"/>
  <c r="R15" i="3"/>
  <c r="N15" i="3"/>
  <c r="P15" i="3"/>
  <c r="M15" i="3"/>
  <c r="L106" i="3"/>
  <c r="S105" i="3"/>
  <c r="T105" i="3"/>
  <c r="U105" i="3"/>
  <c r="O105" i="3"/>
  <c r="Q105" i="3"/>
  <c r="R105" i="3"/>
  <c r="N105" i="3"/>
  <c r="M105" i="3"/>
  <c r="P105" i="3"/>
  <c r="L75" i="3"/>
  <c r="S74" i="3"/>
  <c r="T74" i="3"/>
  <c r="U74" i="3"/>
  <c r="O74" i="3"/>
  <c r="Q74" i="3"/>
  <c r="R74" i="3"/>
  <c r="M74" i="3"/>
  <c r="N74" i="3"/>
  <c r="P74" i="3"/>
  <c r="L47" i="3"/>
  <c r="S46" i="3"/>
  <c r="T46" i="3"/>
  <c r="U46" i="3"/>
  <c r="O46" i="3"/>
  <c r="Q46" i="3"/>
  <c r="R46" i="3"/>
  <c r="M46" i="3"/>
  <c r="N46" i="3"/>
  <c r="P46" i="3"/>
  <c r="Y105" i="3" l="1"/>
  <c r="AJ105" i="3"/>
  <c r="AE15" i="3"/>
  <c r="AP15" i="3"/>
  <c r="AA46" i="3"/>
  <c r="AL46" i="3"/>
  <c r="AA74" i="3"/>
  <c r="AL74" i="3"/>
  <c r="AE105" i="3"/>
  <c r="AP105" i="3"/>
  <c r="AD15" i="3"/>
  <c r="AO15" i="3"/>
  <c r="Y46" i="3"/>
  <c r="AJ46" i="3"/>
  <c r="Y74" i="3"/>
  <c r="AJ74" i="3"/>
  <c r="AD105" i="3"/>
  <c r="AO105" i="3"/>
  <c r="W15" i="3"/>
  <c r="AH15" i="3"/>
  <c r="AC15" i="3"/>
  <c r="AN15" i="3"/>
  <c r="AE46" i="3"/>
  <c r="AP46" i="3"/>
  <c r="AE74" i="3"/>
  <c r="AP74" i="3"/>
  <c r="Z105" i="3"/>
  <c r="AK105" i="3"/>
  <c r="AC105" i="3"/>
  <c r="AN105" i="3"/>
  <c r="Z15" i="3"/>
  <c r="AK15" i="3"/>
  <c r="AD46" i="3"/>
  <c r="AO46" i="3"/>
  <c r="AD74" i="3"/>
  <c r="AO74" i="3"/>
  <c r="W105" i="3"/>
  <c r="AH105" i="3"/>
  <c r="X15" i="3"/>
  <c r="AI15" i="3"/>
  <c r="AB74" i="3"/>
  <c r="AM74" i="3"/>
  <c r="Z46" i="3"/>
  <c r="AK46" i="3"/>
  <c r="AC46" i="3"/>
  <c r="AN46" i="3"/>
  <c r="Z74" i="3"/>
  <c r="AK74" i="3"/>
  <c r="AC74" i="3"/>
  <c r="AN74" i="3"/>
  <c r="X105" i="3"/>
  <c r="AI105" i="3"/>
  <c r="AB15" i="3"/>
  <c r="AM15" i="3"/>
  <c r="AB46" i="3"/>
  <c r="AM46" i="3"/>
  <c r="X46" i="3"/>
  <c r="AI46" i="3"/>
  <c r="X74" i="3"/>
  <c r="AI74" i="3"/>
  <c r="AB105" i="3"/>
  <c r="AM105" i="3"/>
  <c r="AA15" i="3"/>
  <c r="AL15" i="3"/>
  <c r="W46" i="3"/>
  <c r="AH46" i="3"/>
  <c r="W74" i="3"/>
  <c r="AH74" i="3"/>
  <c r="AA105" i="3"/>
  <c r="AL105" i="3"/>
  <c r="Y15" i="3"/>
  <c r="AJ15" i="3"/>
  <c r="L48" i="3"/>
  <c r="S47" i="3"/>
  <c r="T47" i="3"/>
  <c r="U47" i="3"/>
  <c r="O47" i="3"/>
  <c r="Q47" i="3"/>
  <c r="R47" i="3"/>
  <c r="N47" i="3"/>
  <c r="P47" i="3"/>
  <c r="M47" i="3"/>
  <c r="L76" i="3"/>
  <c r="S75" i="3"/>
  <c r="T75" i="3"/>
  <c r="U75" i="3"/>
  <c r="O75" i="3"/>
  <c r="Q75" i="3"/>
  <c r="R75" i="3"/>
  <c r="N75" i="3"/>
  <c r="P75" i="3"/>
  <c r="M75" i="3"/>
  <c r="L17" i="3"/>
  <c r="S16" i="3"/>
  <c r="T16" i="3"/>
  <c r="U16" i="3"/>
  <c r="O16" i="3"/>
  <c r="Q16" i="3"/>
  <c r="R16" i="3"/>
  <c r="N16" i="3"/>
  <c r="P16" i="3"/>
  <c r="M16" i="3"/>
  <c r="L107" i="3"/>
  <c r="S106" i="3"/>
  <c r="T106" i="3"/>
  <c r="U106" i="3"/>
  <c r="O106" i="3"/>
  <c r="Q106" i="3"/>
  <c r="R106" i="3"/>
  <c r="M106" i="3"/>
  <c r="N106" i="3"/>
  <c r="P106" i="3"/>
  <c r="AB106" i="3" l="1"/>
  <c r="AM106" i="3"/>
  <c r="Y16" i="3"/>
  <c r="AJ16" i="3"/>
  <c r="AA106" i="3"/>
  <c r="AL106" i="3"/>
  <c r="AE16" i="3"/>
  <c r="AP16" i="3"/>
  <c r="W75" i="3"/>
  <c r="AH75" i="3"/>
  <c r="AC75" i="3"/>
  <c r="AN75" i="3"/>
  <c r="AB47" i="3"/>
  <c r="AM47" i="3"/>
  <c r="AD75" i="3"/>
  <c r="AO75" i="3"/>
  <c r="Y106" i="3"/>
  <c r="AJ106" i="3"/>
  <c r="AD16" i="3"/>
  <c r="AO16" i="3"/>
  <c r="Z75" i="3"/>
  <c r="AK75" i="3"/>
  <c r="AA47" i="3"/>
  <c r="AL47" i="3"/>
  <c r="AE106" i="3"/>
  <c r="AP106" i="3"/>
  <c r="W16" i="3"/>
  <c r="AH16" i="3"/>
  <c r="AC16" i="3"/>
  <c r="AN16" i="3"/>
  <c r="X75" i="3"/>
  <c r="AI75" i="3"/>
  <c r="Y47" i="3"/>
  <c r="AJ47" i="3"/>
  <c r="X47" i="3"/>
  <c r="AI47" i="3"/>
  <c r="AD106" i="3"/>
  <c r="AO106" i="3"/>
  <c r="Z16" i="3"/>
  <c r="AK16" i="3"/>
  <c r="AB75" i="3"/>
  <c r="AM75" i="3"/>
  <c r="AE47" i="3"/>
  <c r="AP47" i="3"/>
  <c r="Z106" i="3"/>
  <c r="AK106" i="3"/>
  <c r="AC106" i="3"/>
  <c r="AN106" i="3"/>
  <c r="X16" i="3"/>
  <c r="AI16" i="3"/>
  <c r="AA75" i="3"/>
  <c r="AL75" i="3"/>
  <c r="AD47" i="3"/>
  <c r="AO47" i="3"/>
  <c r="X106" i="3"/>
  <c r="AI106" i="3"/>
  <c r="AB16" i="3"/>
  <c r="AM16" i="3"/>
  <c r="Y75" i="3"/>
  <c r="AJ75" i="3"/>
  <c r="W47" i="3"/>
  <c r="AH47" i="3"/>
  <c r="AC47" i="3"/>
  <c r="AN47" i="3"/>
  <c r="W106" i="3"/>
  <c r="AH106" i="3"/>
  <c r="AA16" i="3"/>
  <c r="AL16" i="3"/>
  <c r="AE75" i="3"/>
  <c r="AP75" i="3"/>
  <c r="Z47" i="3"/>
  <c r="AK47" i="3"/>
  <c r="L18" i="3"/>
  <c r="S17" i="3"/>
  <c r="T17" i="3"/>
  <c r="U17" i="3"/>
  <c r="O17" i="3"/>
  <c r="Q17" i="3"/>
  <c r="R17" i="3"/>
  <c r="N17" i="3"/>
  <c r="M17" i="3"/>
  <c r="P17" i="3"/>
  <c r="L108" i="3"/>
  <c r="S107" i="3"/>
  <c r="T107" i="3"/>
  <c r="U107" i="3"/>
  <c r="O107" i="3"/>
  <c r="Q107" i="3"/>
  <c r="R107" i="3"/>
  <c r="N107" i="3"/>
  <c r="P107" i="3"/>
  <c r="M107" i="3"/>
  <c r="L77" i="3"/>
  <c r="S76" i="3"/>
  <c r="T76" i="3"/>
  <c r="U76" i="3"/>
  <c r="O76" i="3"/>
  <c r="Q76" i="3"/>
  <c r="R76" i="3"/>
  <c r="N76" i="3"/>
  <c r="P76" i="3"/>
  <c r="M76" i="3"/>
  <c r="L49" i="3"/>
  <c r="S48" i="3"/>
  <c r="T48" i="3"/>
  <c r="U48" i="3"/>
  <c r="O48" i="3"/>
  <c r="Q48" i="3"/>
  <c r="R48" i="3"/>
  <c r="N48" i="3"/>
  <c r="P48" i="3"/>
  <c r="M48" i="3"/>
  <c r="AE48" i="3" l="1"/>
  <c r="AP48" i="3"/>
  <c r="W76" i="3"/>
  <c r="AH76" i="3"/>
  <c r="AC76" i="3"/>
  <c r="AN76" i="3"/>
  <c r="W107" i="3"/>
  <c r="AH107" i="3"/>
  <c r="AC107" i="3"/>
  <c r="AN107" i="3"/>
  <c r="AA17" i="3"/>
  <c r="AL17" i="3"/>
  <c r="AE17" i="3"/>
  <c r="AP17" i="3"/>
  <c r="AD48" i="3"/>
  <c r="AO48" i="3"/>
  <c r="Z76" i="3"/>
  <c r="AK76" i="3"/>
  <c r="Z107" i="3"/>
  <c r="AK107" i="3"/>
  <c r="Y17" i="3"/>
  <c r="AJ17" i="3"/>
  <c r="Z48" i="3"/>
  <c r="AK48" i="3"/>
  <c r="AB76" i="3"/>
  <c r="AM76" i="3"/>
  <c r="AB107" i="3"/>
  <c r="AM107" i="3"/>
  <c r="AD17" i="3"/>
  <c r="AO17" i="3"/>
  <c r="X48" i="3"/>
  <c r="AI48" i="3"/>
  <c r="AA76" i="3"/>
  <c r="AL76" i="3"/>
  <c r="AA107" i="3"/>
  <c r="AL107" i="3"/>
  <c r="Z17" i="3"/>
  <c r="AK17" i="3"/>
  <c r="AC17" i="3"/>
  <c r="AN17" i="3"/>
  <c r="AB48" i="3"/>
  <c r="AM48" i="3"/>
  <c r="Y76" i="3"/>
  <c r="AJ76" i="3"/>
  <c r="Y107" i="3"/>
  <c r="AJ107" i="3"/>
  <c r="W17" i="3"/>
  <c r="AH17" i="3"/>
  <c r="AC48" i="3"/>
  <c r="AN48" i="3"/>
  <c r="AE76" i="3"/>
  <c r="AP76" i="3"/>
  <c r="AE107" i="3"/>
  <c r="AP107" i="3"/>
  <c r="X17" i="3"/>
  <c r="AI17" i="3"/>
  <c r="W48" i="3"/>
  <c r="AH48" i="3"/>
  <c r="X76" i="3"/>
  <c r="AI76" i="3"/>
  <c r="X107" i="3"/>
  <c r="AI107" i="3"/>
  <c r="AA48" i="3"/>
  <c r="AL48" i="3"/>
  <c r="Y48" i="3"/>
  <c r="AJ48" i="3"/>
  <c r="AD76" i="3"/>
  <c r="AO76" i="3"/>
  <c r="AD107" i="3"/>
  <c r="AO107" i="3"/>
  <c r="AB17" i="3"/>
  <c r="AM17" i="3"/>
  <c r="L50" i="3"/>
  <c r="S49" i="3"/>
  <c r="T49" i="3"/>
  <c r="U49" i="3"/>
  <c r="O49" i="3"/>
  <c r="Q49" i="3"/>
  <c r="R49" i="3"/>
  <c r="N49" i="3"/>
  <c r="M49" i="3"/>
  <c r="P49" i="3"/>
  <c r="L109" i="3"/>
  <c r="S108" i="3"/>
  <c r="T108" i="3"/>
  <c r="U108" i="3"/>
  <c r="O108" i="3"/>
  <c r="Q108" i="3"/>
  <c r="R108" i="3"/>
  <c r="N108" i="3"/>
  <c r="P108" i="3"/>
  <c r="M108" i="3"/>
  <c r="L78" i="3"/>
  <c r="S77" i="3"/>
  <c r="T77" i="3"/>
  <c r="U77" i="3"/>
  <c r="O77" i="3"/>
  <c r="Q77" i="3"/>
  <c r="R77" i="3"/>
  <c r="M77" i="3"/>
  <c r="N77" i="3"/>
  <c r="P77" i="3"/>
  <c r="L19" i="3"/>
  <c r="S18" i="3"/>
  <c r="T18" i="3"/>
  <c r="U18" i="3"/>
  <c r="O18" i="3"/>
  <c r="Q18" i="3"/>
  <c r="R18" i="3"/>
  <c r="M18" i="3"/>
  <c r="N18" i="3"/>
  <c r="P18" i="3"/>
  <c r="AB77" i="3" l="1"/>
  <c r="AM77" i="3"/>
  <c r="W18" i="3"/>
  <c r="AH18" i="3"/>
  <c r="AA77" i="3"/>
  <c r="AL77" i="3"/>
  <c r="AD108" i="3"/>
  <c r="AO108" i="3"/>
  <c r="AB49" i="3"/>
  <c r="AM49" i="3"/>
  <c r="AE108" i="3"/>
  <c r="AP108" i="3"/>
  <c r="AB18" i="3"/>
  <c r="AM18" i="3"/>
  <c r="Y77" i="3"/>
  <c r="AJ77" i="3"/>
  <c r="W108" i="3"/>
  <c r="AH108" i="3"/>
  <c r="AC108" i="3"/>
  <c r="AN108" i="3"/>
  <c r="AA49" i="3"/>
  <c r="AL49" i="3"/>
  <c r="AA18" i="3"/>
  <c r="AL18" i="3"/>
  <c r="AE77" i="3"/>
  <c r="AP77" i="3"/>
  <c r="Z108" i="3"/>
  <c r="AK108" i="3"/>
  <c r="Y49" i="3"/>
  <c r="AJ49" i="3"/>
  <c r="Y18" i="3"/>
  <c r="AJ18" i="3"/>
  <c r="AD77" i="3"/>
  <c r="AO77" i="3"/>
  <c r="X108" i="3"/>
  <c r="AI108" i="3"/>
  <c r="AE49" i="3"/>
  <c r="AP49" i="3"/>
  <c r="X18" i="3"/>
  <c r="AI18" i="3"/>
  <c r="X49" i="3"/>
  <c r="AI49" i="3"/>
  <c r="AE18" i="3"/>
  <c r="AP18" i="3"/>
  <c r="Z77" i="3"/>
  <c r="AK77" i="3"/>
  <c r="AC77" i="3"/>
  <c r="AN77" i="3"/>
  <c r="AB108" i="3"/>
  <c r="AM108" i="3"/>
  <c r="AD49" i="3"/>
  <c r="AO49" i="3"/>
  <c r="AD18" i="3"/>
  <c r="AO18" i="3"/>
  <c r="X77" i="3"/>
  <c r="AI77" i="3"/>
  <c r="AA108" i="3"/>
  <c r="AL108" i="3"/>
  <c r="Z49" i="3"/>
  <c r="AK49" i="3"/>
  <c r="AC49" i="3"/>
  <c r="AN49" i="3"/>
  <c r="Z18" i="3"/>
  <c r="AK18" i="3"/>
  <c r="AC18" i="3"/>
  <c r="AN18" i="3"/>
  <c r="W77" i="3"/>
  <c r="AH77" i="3"/>
  <c r="Y108" i="3"/>
  <c r="AJ108" i="3"/>
  <c r="W49" i="3"/>
  <c r="AH49" i="3"/>
  <c r="L110" i="3"/>
  <c r="S109" i="3"/>
  <c r="T109" i="3"/>
  <c r="U109" i="3"/>
  <c r="O109" i="3"/>
  <c r="Q109" i="3"/>
  <c r="R109" i="3"/>
  <c r="M109" i="3"/>
  <c r="N109" i="3"/>
  <c r="P109" i="3"/>
  <c r="L79" i="3"/>
  <c r="S78" i="3"/>
  <c r="T78" i="3"/>
  <c r="U78" i="3"/>
  <c r="O78" i="3"/>
  <c r="Q78" i="3"/>
  <c r="R78" i="3"/>
  <c r="M78" i="3"/>
  <c r="N78" i="3"/>
  <c r="P78" i="3"/>
  <c r="L20" i="3"/>
  <c r="S19" i="3"/>
  <c r="T19" i="3"/>
  <c r="U19" i="3"/>
  <c r="O19" i="3"/>
  <c r="Q19" i="3"/>
  <c r="R19" i="3"/>
  <c r="N19" i="3"/>
  <c r="P19" i="3"/>
  <c r="M19" i="3"/>
  <c r="L51" i="3"/>
  <c r="S50" i="3"/>
  <c r="T50" i="3"/>
  <c r="U50" i="3"/>
  <c r="O50" i="3"/>
  <c r="Q50" i="3"/>
  <c r="R50" i="3"/>
  <c r="M50" i="3"/>
  <c r="N50" i="3"/>
  <c r="P50" i="3"/>
  <c r="Z78" i="3" l="1"/>
  <c r="AK78" i="3"/>
  <c r="AD109" i="3"/>
  <c r="AO109" i="3"/>
  <c r="Z50" i="3"/>
  <c r="AK50" i="3"/>
  <c r="AC50" i="3"/>
  <c r="AN50" i="3"/>
  <c r="X19" i="3"/>
  <c r="AI19" i="3"/>
  <c r="AE78" i="3"/>
  <c r="AP78" i="3"/>
  <c r="AA109" i="3"/>
  <c r="AL109" i="3"/>
  <c r="X50" i="3"/>
  <c r="AI50" i="3"/>
  <c r="AB19" i="3"/>
  <c r="AM19" i="3"/>
  <c r="AD78" i="3"/>
  <c r="AO78" i="3"/>
  <c r="Y109" i="3"/>
  <c r="AJ109" i="3"/>
  <c r="AE109" i="3"/>
  <c r="AP109" i="3"/>
  <c r="AB50" i="3"/>
  <c r="AM50" i="3"/>
  <c r="AA50" i="3"/>
  <c r="AL50" i="3"/>
  <c r="AE19" i="3"/>
  <c r="AP19" i="3"/>
  <c r="W78" i="3"/>
  <c r="AH78" i="3"/>
  <c r="Z109" i="3"/>
  <c r="AK109" i="3"/>
  <c r="AC109" i="3"/>
  <c r="AN109" i="3"/>
  <c r="AA19" i="3"/>
  <c r="AL19" i="3"/>
  <c r="X78" i="3"/>
  <c r="AI78" i="3"/>
  <c r="AD19" i="3"/>
  <c r="AO19" i="3"/>
  <c r="AB78" i="3"/>
  <c r="AM78" i="3"/>
  <c r="X109" i="3"/>
  <c r="AI109" i="3"/>
  <c r="Y50" i="3"/>
  <c r="AJ50" i="3"/>
  <c r="W19" i="3"/>
  <c r="AH19" i="3"/>
  <c r="AC19" i="3"/>
  <c r="AN19" i="3"/>
  <c r="AA78" i="3"/>
  <c r="AL78" i="3"/>
  <c r="W109" i="3"/>
  <c r="AH109" i="3"/>
  <c r="W50" i="3"/>
  <c r="AH50" i="3"/>
  <c r="AC78" i="3"/>
  <c r="AN78" i="3"/>
  <c r="Y19" i="3"/>
  <c r="AJ19" i="3"/>
  <c r="AE50" i="3"/>
  <c r="AP50" i="3"/>
  <c r="AD50" i="3"/>
  <c r="AO50" i="3"/>
  <c r="Z19" i="3"/>
  <c r="AK19" i="3"/>
  <c r="Y78" i="3"/>
  <c r="AJ78" i="3"/>
  <c r="AB109" i="3"/>
  <c r="AM109" i="3"/>
  <c r="L111" i="3"/>
  <c r="S110" i="3"/>
  <c r="T110" i="3"/>
  <c r="U110" i="3"/>
  <c r="O110" i="3"/>
  <c r="Q110" i="3"/>
  <c r="R110" i="3"/>
  <c r="M110" i="3"/>
  <c r="N110" i="3"/>
  <c r="P110" i="3"/>
  <c r="L52" i="3"/>
  <c r="S51" i="3"/>
  <c r="T51" i="3"/>
  <c r="U51" i="3"/>
  <c r="O51" i="3"/>
  <c r="Q51" i="3"/>
  <c r="R51" i="3"/>
  <c r="N51" i="3"/>
  <c r="P51" i="3"/>
  <c r="M51" i="3"/>
  <c r="L80" i="3"/>
  <c r="S79" i="3"/>
  <c r="T79" i="3"/>
  <c r="U79" i="3"/>
  <c r="O79" i="3"/>
  <c r="Q79" i="3"/>
  <c r="R79" i="3"/>
  <c r="N79" i="3"/>
  <c r="P79" i="3"/>
  <c r="M79" i="3"/>
  <c r="L21" i="3"/>
  <c r="S20" i="3"/>
  <c r="T20" i="3"/>
  <c r="U20" i="3"/>
  <c r="O20" i="3"/>
  <c r="Q20" i="3"/>
  <c r="R20" i="3"/>
  <c r="N20" i="3"/>
  <c r="P20" i="3"/>
  <c r="M20" i="3"/>
  <c r="X79" i="3" l="1"/>
  <c r="AI79" i="3"/>
  <c r="W51" i="3"/>
  <c r="AH51" i="3"/>
  <c r="AC51" i="3"/>
  <c r="AN51" i="3"/>
  <c r="Z110" i="3"/>
  <c r="AK110" i="3"/>
  <c r="AC110" i="3"/>
  <c r="AN110" i="3"/>
  <c r="AB20" i="3"/>
  <c r="AM20" i="3"/>
  <c r="AB79" i="3"/>
  <c r="AM79" i="3"/>
  <c r="Z51" i="3"/>
  <c r="AK51" i="3"/>
  <c r="X110" i="3"/>
  <c r="AI110" i="3"/>
  <c r="X20" i="3"/>
  <c r="AI20" i="3"/>
  <c r="AA20" i="3"/>
  <c r="AL20" i="3"/>
  <c r="AA79" i="3"/>
  <c r="AL79" i="3"/>
  <c r="X51" i="3"/>
  <c r="AI51" i="3"/>
  <c r="W110" i="3"/>
  <c r="AH110" i="3"/>
  <c r="Y20" i="3"/>
  <c r="AJ20" i="3"/>
  <c r="Y79" i="3"/>
  <c r="AJ79" i="3"/>
  <c r="AB51" i="3"/>
  <c r="AM51" i="3"/>
  <c r="AB110" i="3"/>
  <c r="AM110" i="3"/>
  <c r="AE20" i="3"/>
  <c r="AP20" i="3"/>
  <c r="AE79" i="3"/>
  <c r="AP79" i="3"/>
  <c r="AA51" i="3"/>
  <c r="AL51" i="3"/>
  <c r="AA110" i="3"/>
  <c r="AL110" i="3"/>
  <c r="AD20" i="3"/>
  <c r="AO20" i="3"/>
  <c r="AD79" i="3"/>
  <c r="AO79" i="3"/>
  <c r="Y51" i="3"/>
  <c r="AJ51" i="3"/>
  <c r="Y110" i="3"/>
  <c r="AJ110" i="3"/>
  <c r="W20" i="3"/>
  <c r="AH20" i="3"/>
  <c r="AC20" i="3"/>
  <c r="AN20" i="3"/>
  <c r="W79" i="3"/>
  <c r="AH79" i="3"/>
  <c r="AC79" i="3"/>
  <c r="AN79" i="3"/>
  <c r="AE51" i="3"/>
  <c r="AP51" i="3"/>
  <c r="AE110" i="3"/>
  <c r="AP110" i="3"/>
  <c r="Z20" i="3"/>
  <c r="AK20" i="3"/>
  <c r="Z79" i="3"/>
  <c r="AK79" i="3"/>
  <c r="AD51" i="3"/>
  <c r="AO51" i="3"/>
  <c r="AD110" i="3"/>
  <c r="AO110" i="3"/>
  <c r="L22" i="3"/>
  <c r="S21" i="3"/>
  <c r="T21" i="3"/>
  <c r="U21" i="3"/>
  <c r="O21" i="3"/>
  <c r="Q21" i="3"/>
  <c r="R21" i="3"/>
  <c r="M21" i="3"/>
  <c r="N21" i="3"/>
  <c r="P21" i="3"/>
  <c r="L53" i="3"/>
  <c r="S52" i="3"/>
  <c r="T52" i="3"/>
  <c r="U52" i="3"/>
  <c r="O52" i="3"/>
  <c r="Q52" i="3"/>
  <c r="R52" i="3"/>
  <c r="N52" i="3"/>
  <c r="P52" i="3"/>
  <c r="M52" i="3"/>
  <c r="L112" i="3"/>
  <c r="S111" i="3"/>
  <c r="T111" i="3"/>
  <c r="U111" i="3"/>
  <c r="O111" i="3"/>
  <c r="Q111" i="3"/>
  <c r="R111" i="3"/>
  <c r="N111" i="3"/>
  <c r="P111" i="3"/>
  <c r="M111" i="3"/>
  <c r="L81" i="3"/>
  <c r="S80" i="3"/>
  <c r="T80" i="3"/>
  <c r="U80" i="3"/>
  <c r="O80" i="3"/>
  <c r="Q80" i="3"/>
  <c r="R80" i="3"/>
  <c r="N80" i="3"/>
  <c r="P80" i="3"/>
  <c r="M80" i="3"/>
  <c r="X80" i="3" l="1"/>
  <c r="AI80" i="3"/>
  <c r="AE111" i="3"/>
  <c r="AP111" i="3"/>
  <c r="X52" i="3"/>
  <c r="AI52" i="3"/>
  <c r="AE21" i="3"/>
  <c r="AP21" i="3"/>
  <c r="AB80" i="3"/>
  <c r="AM80" i="3"/>
  <c r="AD111" i="3"/>
  <c r="AO111" i="3"/>
  <c r="AB52" i="3"/>
  <c r="AM52" i="3"/>
  <c r="AD21" i="3"/>
  <c r="AO21" i="3"/>
  <c r="AA80" i="3"/>
  <c r="AL80" i="3"/>
  <c r="W111" i="3"/>
  <c r="AH111" i="3"/>
  <c r="AC111" i="3"/>
  <c r="AN111" i="3"/>
  <c r="AA52" i="3"/>
  <c r="AL52" i="3"/>
  <c r="Z21" i="3"/>
  <c r="AK21" i="3"/>
  <c r="AC21" i="3"/>
  <c r="AN21" i="3"/>
  <c r="Y80" i="3"/>
  <c r="AJ80" i="3"/>
  <c r="Z111" i="3"/>
  <c r="AK111" i="3"/>
  <c r="Y52" i="3"/>
  <c r="AJ52" i="3"/>
  <c r="X21" i="3"/>
  <c r="AI21" i="3"/>
  <c r="AE80" i="3"/>
  <c r="AP80" i="3"/>
  <c r="X111" i="3"/>
  <c r="AI111" i="3"/>
  <c r="AE52" i="3"/>
  <c r="AP52" i="3"/>
  <c r="W21" i="3"/>
  <c r="AH21" i="3"/>
  <c r="AD80" i="3"/>
  <c r="AO80" i="3"/>
  <c r="AB111" i="3"/>
  <c r="AM111" i="3"/>
  <c r="AD52" i="3"/>
  <c r="AO52" i="3"/>
  <c r="AB21" i="3"/>
  <c r="AM21" i="3"/>
  <c r="W80" i="3"/>
  <c r="AH80" i="3"/>
  <c r="AC80" i="3"/>
  <c r="AN80" i="3"/>
  <c r="AA111" i="3"/>
  <c r="AL111" i="3"/>
  <c r="W52" i="3"/>
  <c r="AH52" i="3"/>
  <c r="AC52" i="3"/>
  <c r="AN52" i="3"/>
  <c r="AA21" i="3"/>
  <c r="AL21" i="3"/>
  <c r="Z80" i="3"/>
  <c r="AK80" i="3"/>
  <c r="Y111" i="3"/>
  <c r="AJ111" i="3"/>
  <c r="Z52" i="3"/>
  <c r="AK52" i="3"/>
  <c r="Y21" i="3"/>
  <c r="AJ21" i="3"/>
  <c r="L113" i="3"/>
  <c r="S112" i="3"/>
  <c r="T112" i="3"/>
  <c r="U112" i="3"/>
  <c r="O112" i="3"/>
  <c r="Q112" i="3"/>
  <c r="R112" i="3"/>
  <c r="N112" i="3"/>
  <c r="P112" i="3"/>
  <c r="M112" i="3"/>
  <c r="L23" i="3"/>
  <c r="S22" i="3"/>
  <c r="T22" i="3"/>
  <c r="U22" i="3"/>
  <c r="O22" i="3"/>
  <c r="Q22" i="3"/>
  <c r="R22" i="3"/>
  <c r="M22" i="3"/>
  <c r="N22" i="3"/>
  <c r="P22" i="3"/>
  <c r="L82" i="3"/>
  <c r="S81" i="3"/>
  <c r="T81" i="3"/>
  <c r="U81" i="3"/>
  <c r="O81" i="3"/>
  <c r="Q81" i="3"/>
  <c r="R81" i="3"/>
  <c r="N81" i="3"/>
  <c r="M81" i="3"/>
  <c r="P81" i="3"/>
  <c r="L54" i="3"/>
  <c r="S53" i="3"/>
  <c r="T53" i="3"/>
  <c r="U53" i="3"/>
  <c r="O53" i="3"/>
  <c r="Q53" i="3"/>
  <c r="R53" i="3"/>
  <c r="M53" i="3"/>
  <c r="N53" i="3"/>
  <c r="P53" i="3"/>
  <c r="Z53" i="3" l="1"/>
  <c r="AK53" i="3"/>
  <c r="AC53" i="3"/>
  <c r="AN53" i="3"/>
  <c r="AE81" i="3"/>
  <c r="AP81" i="3"/>
  <c r="W22" i="3"/>
  <c r="AH22" i="3"/>
  <c r="AD112" i="3"/>
  <c r="AO112" i="3"/>
  <c r="X53" i="3"/>
  <c r="AI53" i="3"/>
  <c r="AD81" i="3"/>
  <c r="AO81" i="3"/>
  <c r="AB22" i="3"/>
  <c r="AM22" i="3"/>
  <c r="W112" i="3"/>
  <c r="AH112" i="3"/>
  <c r="AC112" i="3"/>
  <c r="AN112" i="3"/>
  <c r="W53" i="3"/>
  <c r="AH53" i="3"/>
  <c r="Z81" i="3"/>
  <c r="AK81" i="3"/>
  <c r="AC81" i="3"/>
  <c r="AN81" i="3"/>
  <c r="AA22" i="3"/>
  <c r="AL22" i="3"/>
  <c r="Z112" i="3"/>
  <c r="AK112" i="3"/>
  <c r="AB53" i="3"/>
  <c r="AM53" i="3"/>
  <c r="W81" i="3"/>
  <c r="AH81" i="3"/>
  <c r="Y22" i="3"/>
  <c r="AJ22" i="3"/>
  <c r="X112" i="3"/>
  <c r="AI112" i="3"/>
  <c r="AA53" i="3"/>
  <c r="AL53" i="3"/>
  <c r="X81" i="3"/>
  <c r="AI81" i="3"/>
  <c r="AE22" i="3"/>
  <c r="AP22" i="3"/>
  <c r="AB112" i="3"/>
  <c r="AM112" i="3"/>
  <c r="Y53" i="3"/>
  <c r="AJ53" i="3"/>
  <c r="AB81" i="3"/>
  <c r="AM81" i="3"/>
  <c r="AD22" i="3"/>
  <c r="AO22" i="3"/>
  <c r="AA112" i="3"/>
  <c r="AL112" i="3"/>
  <c r="AE53" i="3"/>
  <c r="AP53" i="3"/>
  <c r="AA81" i="3"/>
  <c r="AL81" i="3"/>
  <c r="Z22" i="3"/>
  <c r="AK22" i="3"/>
  <c r="AC22" i="3"/>
  <c r="AN22" i="3"/>
  <c r="Y112" i="3"/>
  <c r="AJ112" i="3"/>
  <c r="AD53" i="3"/>
  <c r="AO53" i="3"/>
  <c r="Y81" i="3"/>
  <c r="AJ81" i="3"/>
  <c r="X22" i="3"/>
  <c r="AI22" i="3"/>
  <c r="AE112" i="3"/>
  <c r="AP112" i="3"/>
  <c r="L55" i="3"/>
  <c r="S54" i="3"/>
  <c r="T54" i="3"/>
  <c r="U54" i="3"/>
  <c r="O54" i="3"/>
  <c r="Q54" i="3"/>
  <c r="R54" i="3"/>
  <c r="M54" i="3"/>
  <c r="N54" i="3"/>
  <c r="P54" i="3"/>
  <c r="L24" i="3"/>
  <c r="S23" i="3"/>
  <c r="T23" i="3"/>
  <c r="U23" i="3"/>
  <c r="O23" i="3"/>
  <c r="Q23" i="3"/>
  <c r="R23" i="3"/>
  <c r="N23" i="3"/>
  <c r="P23" i="3"/>
  <c r="M23" i="3"/>
  <c r="L83" i="3"/>
  <c r="S82" i="3"/>
  <c r="T82" i="3"/>
  <c r="U82" i="3"/>
  <c r="O82" i="3"/>
  <c r="Q82" i="3"/>
  <c r="R82" i="3"/>
  <c r="M82" i="3"/>
  <c r="N82" i="3"/>
  <c r="P82" i="3"/>
  <c r="L114" i="3"/>
  <c r="S113" i="3"/>
  <c r="T113" i="3"/>
  <c r="U113" i="3"/>
  <c r="O113" i="3"/>
  <c r="Q113" i="3"/>
  <c r="R113" i="3"/>
  <c r="N113" i="3"/>
  <c r="M113" i="3"/>
  <c r="P113" i="3"/>
  <c r="AA82" i="3" l="1"/>
  <c r="AL82" i="3"/>
  <c r="Y23" i="3"/>
  <c r="AJ23" i="3"/>
  <c r="Y54" i="3"/>
  <c r="AJ54" i="3"/>
  <c r="W113" i="3"/>
  <c r="AH113" i="3"/>
  <c r="Y82" i="3"/>
  <c r="AJ82" i="3"/>
  <c r="AE23" i="3"/>
  <c r="AP23" i="3"/>
  <c r="AE54" i="3"/>
  <c r="AP54" i="3"/>
  <c r="X113" i="3"/>
  <c r="AI113" i="3"/>
  <c r="AE82" i="3"/>
  <c r="AP82" i="3"/>
  <c r="AD23" i="3"/>
  <c r="AO23" i="3"/>
  <c r="AD54" i="3"/>
  <c r="AO54" i="3"/>
  <c r="AB113" i="3"/>
  <c r="AM113" i="3"/>
  <c r="AD82" i="3"/>
  <c r="AO82" i="3"/>
  <c r="W23" i="3"/>
  <c r="AH23" i="3"/>
  <c r="AC23" i="3"/>
  <c r="AN23" i="3"/>
  <c r="Z54" i="3"/>
  <c r="AK54" i="3"/>
  <c r="AC54" i="3"/>
  <c r="AN54" i="3"/>
  <c r="AA113" i="3"/>
  <c r="AL113" i="3"/>
  <c r="Z82" i="3"/>
  <c r="AK82" i="3"/>
  <c r="AC82" i="3"/>
  <c r="AN82" i="3"/>
  <c r="Z23" i="3"/>
  <c r="AK23" i="3"/>
  <c r="X54" i="3"/>
  <c r="AI54" i="3"/>
  <c r="AC113" i="3"/>
  <c r="AN113" i="3"/>
  <c r="Y113" i="3"/>
  <c r="AJ113" i="3"/>
  <c r="X82" i="3"/>
  <c r="AI82" i="3"/>
  <c r="X23" i="3"/>
  <c r="AI23" i="3"/>
  <c r="W54" i="3"/>
  <c r="AH54" i="3"/>
  <c r="Z113" i="3"/>
  <c r="AK113" i="3"/>
  <c r="AE113" i="3"/>
  <c r="AP113" i="3"/>
  <c r="W82" i="3"/>
  <c r="AH82" i="3"/>
  <c r="AB23" i="3"/>
  <c r="AM23" i="3"/>
  <c r="AB54" i="3"/>
  <c r="AM54" i="3"/>
  <c r="AD113" i="3"/>
  <c r="AO113" i="3"/>
  <c r="AB82" i="3"/>
  <c r="AM82" i="3"/>
  <c r="AA23" i="3"/>
  <c r="AL23" i="3"/>
  <c r="AA54" i="3"/>
  <c r="AL54" i="3"/>
  <c r="L115" i="3"/>
  <c r="S114" i="3"/>
  <c r="T114" i="3"/>
  <c r="U114" i="3"/>
  <c r="O114" i="3"/>
  <c r="Q114" i="3"/>
  <c r="R114" i="3"/>
  <c r="M114" i="3"/>
  <c r="N114" i="3"/>
  <c r="P114" i="3"/>
  <c r="L84" i="3"/>
  <c r="S83" i="3"/>
  <c r="T83" i="3"/>
  <c r="U83" i="3"/>
  <c r="O83" i="3"/>
  <c r="Q83" i="3"/>
  <c r="R83" i="3"/>
  <c r="N83" i="3"/>
  <c r="P83" i="3"/>
  <c r="M83" i="3"/>
  <c r="L25" i="3"/>
  <c r="S24" i="3"/>
  <c r="T24" i="3"/>
  <c r="U24" i="3"/>
  <c r="O24" i="3"/>
  <c r="Q24" i="3"/>
  <c r="R24" i="3"/>
  <c r="N24" i="3"/>
  <c r="P24" i="3"/>
  <c r="M24" i="3"/>
  <c r="L56" i="3"/>
  <c r="S55" i="3"/>
  <c r="T55" i="3"/>
  <c r="U55" i="3"/>
  <c r="O55" i="3"/>
  <c r="Q55" i="3"/>
  <c r="R55" i="3"/>
  <c r="N55" i="3"/>
  <c r="P55" i="3"/>
  <c r="M55" i="3"/>
  <c r="Y55" i="3" l="1"/>
  <c r="AJ55" i="3"/>
  <c r="Y24" i="3"/>
  <c r="AJ24" i="3"/>
  <c r="AD83" i="3"/>
  <c r="AO83" i="3"/>
  <c r="Y114" i="3"/>
  <c r="AJ114" i="3"/>
  <c r="AA55" i="3"/>
  <c r="AL55" i="3"/>
  <c r="AE55" i="3"/>
  <c r="AP55" i="3"/>
  <c r="AE24" i="3"/>
  <c r="AP24" i="3"/>
  <c r="W83" i="3"/>
  <c r="AH83" i="3"/>
  <c r="AC83" i="3"/>
  <c r="AN83" i="3"/>
  <c r="AE114" i="3"/>
  <c r="AP114" i="3"/>
  <c r="AD55" i="3"/>
  <c r="AO55" i="3"/>
  <c r="AD24" i="3"/>
  <c r="AO24" i="3"/>
  <c r="Z83" i="3"/>
  <c r="AK83" i="3"/>
  <c r="AD114" i="3"/>
  <c r="AO114" i="3"/>
  <c r="W55" i="3"/>
  <c r="AH55" i="3"/>
  <c r="AC55" i="3"/>
  <c r="AN55" i="3"/>
  <c r="W24" i="3"/>
  <c r="AH24" i="3"/>
  <c r="AC24" i="3"/>
  <c r="AN24" i="3"/>
  <c r="X83" i="3"/>
  <c r="AI83" i="3"/>
  <c r="Z114" i="3"/>
  <c r="AK114" i="3"/>
  <c r="AC114" i="3"/>
  <c r="AN114" i="3"/>
  <c r="Z55" i="3"/>
  <c r="AK55" i="3"/>
  <c r="Z24" i="3"/>
  <c r="AK24" i="3"/>
  <c r="AB83" i="3"/>
  <c r="AM83" i="3"/>
  <c r="X114" i="3"/>
  <c r="AI114" i="3"/>
  <c r="AA24" i="3"/>
  <c r="AL24" i="3"/>
  <c r="AA114" i="3"/>
  <c r="AL114" i="3"/>
  <c r="X55" i="3"/>
  <c r="AI55" i="3"/>
  <c r="X24" i="3"/>
  <c r="AI24" i="3"/>
  <c r="AA83" i="3"/>
  <c r="AL83" i="3"/>
  <c r="W114" i="3"/>
  <c r="AH114" i="3"/>
  <c r="AE83" i="3"/>
  <c r="AP83" i="3"/>
  <c r="AB55" i="3"/>
  <c r="AM55" i="3"/>
  <c r="AB24" i="3"/>
  <c r="AM24" i="3"/>
  <c r="Y83" i="3"/>
  <c r="AJ83" i="3"/>
  <c r="AB114" i="3"/>
  <c r="AM114" i="3"/>
  <c r="L57" i="3"/>
  <c r="S56" i="3"/>
  <c r="T56" i="3"/>
  <c r="U56" i="3"/>
  <c r="O56" i="3"/>
  <c r="Q56" i="3"/>
  <c r="R56" i="3"/>
  <c r="N56" i="3"/>
  <c r="P56" i="3"/>
  <c r="M56" i="3"/>
  <c r="L85" i="3"/>
  <c r="S84" i="3"/>
  <c r="T84" i="3"/>
  <c r="U84" i="3"/>
  <c r="O84" i="3"/>
  <c r="Q84" i="3"/>
  <c r="R84" i="3"/>
  <c r="N84" i="3"/>
  <c r="P84" i="3"/>
  <c r="M84" i="3"/>
  <c r="L26" i="3"/>
  <c r="S25" i="3"/>
  <c r="T25" i="3"/>
  <c r="U25" i="3"/>
  <c r="O25" i="3"/>
  <c r="Q25" i="3"/>
  <c r="R25" i="3"/>
  <c r="N25" i="3"/>
  <c r="M25" i="3"/>
  <c r="P25" i="3"/>
  <c r="L116" i="3"/>
  <c r="S115" i="3"/>
  <c r="T115" i="3"/>
  <c r="U115" i="3"/>
  <c r="O115" i="3"/>
  <c r="Q115" i="3"/>
  <c r="R115" i="3"/>
  <c r="N115" i="3"/>
  <c r="P115" i="3"/>
  <c r="M115" i="3"/>
  <c r="AA115" i="3" l="1"/>
  <c r="AL115" i="3"/>
  <c r="AE84" i="3"/>
  <c r="AP84" i="3"/>
  <c r="Y115" i="3"/>
  <c r="AJ115" i="3"/>
  <c r="W25" i="3"/>
  <c r="AH25" i="3"/>
  <c r="AD84" i="3"/>
  <c r="AO84" i="3"/>
  <c r="AB56" i="3"/>
  <c r="AM56" i="3"/>
  <c r="AC25" i="3"/>
  <c r="AN25" i="3"/>
  <c r="AE115" i="3"/>
  <c r="AP115" i="3"/>
  <c r="X25" i="3"/>
  <c r="AI25" i="3"/>
  <c r="W84" i="3"/>
  <c r="AH84" i="3"/>
  <c r="AC84" i="3"/>
  <c r="AN84" i="3"/>
  <c r="AA56" i="3"/>
  <c r="AL56" i="3"/>
  <c r="X56" i="3"/>
  <c r="AI56" i="3"/>
  <c r="AD115" i="3"/>
  <c r="AO115" i="3"/>
  <c r="AB25" i="3"/>
  <c r="AM25" i="3"/>
  <c r="Z84" i="3"/>
  <c r="AK84" i="3"/>
  <c r="Y56" i="3"/>
  <c r="AJ56" i="3"/>
  <c r="W115" i="3"/>
  <c r="AH115" i="3"/>
  <c r="AC115" i="3"/>
  <c r="AN115" i="3"/>
  <c r="AA25" i="3"/>
  <c r="AL25" i="3"/>
  <c r="X84" i="3"/>
  <c r="AI84" i="3"/>
  <c r="AE56" i="3"/>
  <c r="AP56" i="3"/>
  <c r="Z25" i="3"/>
  <c r="AK25" i="3"/>
  <c r="Z115" i="3"/>
  <c r="AK115" i="3"/>
  <c r="Y25" i="3"/>
  <c r="AJ25" i="3"/>
  <c r="AB84" i="3"/>
  <c r="AM84" i="3"/>
  <c r="AD56" i="3"/>
  <c r="AO56" i="3"/>
  <c r="X115" i="3"/>
  <c r="AI115" i="3"/>
  <c r="AE25" i="3"/>
  <c r="AP25" i="3"/>
  <c r="AA84" i="3"/>
  <c r="AL84" i="3"/>
  <c r="W56" i="3"/>
  <c r="AH56" i="3"/>
  <c r="AC56" i="3"/>
  <c r="AN56" i="3"/>
  <c r="AB115" i="3"/>
  <c r="AM115" i="3"/>
  <c r="AD25" i="3"/>
  <c r="AO25" i="3"/>
  <c r="Y84" i="3"/>
  <c r="AJ84" i="3"/>
  <c r="Z56" i="3"/>
  <c r="AK56" i="3"/>
  <c r="L86" i="3"/>
  <c r="S85" i="3"/>
  <c r="T85" i="3"/>
  <c r="U85" i="3"/>
  <c r="O85" i="3"/>
  <c r="Q85" i="3"/>
  <c r="R85" i="3"/>
  <c r="M85" i="3"/>
  <c r="N85" i="3"/>
  <c r="P85" i="3"/>
  <c r="L117" i="3"/>
  <c r="S116" i="3"/>
  <c r="T116" i="3"/>
  <c r="U116" i="3"/>
  <c r="O116" i="3"/>
  <c r="Q116" i="3"/>
  <c r="R116" i="3"/>
  <c r="N116" i="3"/>
  <c r="P116" i="3"/>
  <c r="M116" i="3"/>
  <c r="L58" i="3"/>
  <c r="S57" i="3"/>
  <c r="T57" i="3"/>
  <c r="U57" i="3"/>
  <c r="O57" i="3"/>
  <c r="Q57" i="3"/>
  <c r="R57" i="3"/>
  <c r="N57" i="3"/>
  <c r="M57" i="3"/>
  <c r="P57" i="3"/>
  <c r="L27" i="3"/>
  <c r="S26" i="3"/>
  <c r="T26" i="3"/>
  <c r="U26" i="3"/>
  <c r="O26" i="3"/>
  <c r="Q26" i="3"/>
  <c r="R26" i="3"/>
  <c r="M26" i="3"/>
  <c r="N26" i="3"/>
  <c r="P26" i="3"/>
  <c r="Z26" i="3" l="1"/>
  <c r="AK26" i="3"/>
  <c r="AC26" i="3"/>
  <c r="AN26" i="3"/>
  <c r="AD57" i="3"/>
  <c r="AO57" i="3"/>
  <c r="AE116" i="3"/>
  <c r="AP116" i="3"/>
  <c r="AE85" i="3"/>
  <c r="AP85" i="3"/>
  <c r="X26" i="3"/>
  <c r="AI26" i="3"/>
  <c r="Z57" i="3"/>
  <c r="AK57" i="3"/>
  <c r="AC57" i="3"/>
  <c r="AN57" i="3"/>
  <c r="AD116" i="3"/>
  <c r="AO116" i="3"/>
  <c r="AD85" i="3"/>
  <c r="AO85" i="3"/>
  <c r="W26" i="3"/>
  <c r="AH26" i="3"/>
  <c r="W57" i="3"/>
  <c r="AH57" i="3"/>
  <c r="W116" i="3"/>
  <c r="AH116" i="3"/>
  <c r="AC116" i="3"/>
  <c r="AN116" i="3"/>
  <c r="Z85" i="3"/>
  <c r="AK85" i="3"/>
  <c r="AC85" i="3"/>
  <c r="AN85" i="3"/>
  <c r="AB26" i="3"/>
  <c r="AM26" i="3"/>
  <c r="X57" i="3"/>
  <c r="AI57" i="3"/>
  <c r="Z116" i="3"/>
  <c r="AK116" i="3"/>
  <c r="X85" i="3"/>
  <c r="AI85" i="3"/>
  <c r="AA26" i="3"/>
  <c r="AL26" i="3"/>
  <c r="AB57" i="3"/>
  <c r="AM57" i="3"/>
  <c r="X116" i="3"/>
  <c r="AI116" i="3"/>
  <c r="W85" i="3"/>
  <c r="AH85" i="3"/>
  <c r="Y26" i="3"/>
  <c r="AJ26" i="3"/>
  <c r="AA57" i="3"/>
  <c r="AL57" i="3"/>
  <c r="AB116" i="3"/>
  <c r="AM116" i="3"/>
  <c r="AB85" i="3"/>
  <c r="AM85" i="3"/>
  <c r="AE26" i="3"/>
  <c r="AP26" i="3"/>
  <c r="Y57" i="3"/>
  <c r="AJ57" i="3"/>
  <c r="AA116" i="3"/>
  <c r="AL116" i="3"/>
  <c r="AA85" i="3"/>
  <c r="AL85" i="3"/>
  <c r="AD26" i="3"/>
  <c r="AO26" i="3"/>
  <c r="AE57" i="3"/>
  <c r="AP57" i="3"/>
  <c r="Y116" i="3"/>
  <c r="AJ116" i="3"/>
  <c r="Y85" i="3"/>
  <c r="AJ85" i="3"/>
  <c r="L87" i="3"/>
  <c r="S86" i="3"/>
  <c r="T86" i="3"/>
  <c r="U86" i="3"/>
  <c r="O86" i="3"/>
  <c r="Q86" i="3"/>
  <c r="R86" i="3"/>
  <c r="M86" i="3"/>
  <c r="N86" i="3"/>
  <c r="P86" i="3"/>
  <c r="L59" i="3"/>
  <c r="S58" i="3"/>
  <c r="T58" i="3"/>
  <c r="U58" i="3"/>
  <c r="O58" i="3"/>
  <c r="Q58" i="3"/>
  <c r="R58" i="3"/>
  <c r="M58" i="3"/>
  <c r="N58" i="3"/>
  <c r="P58" i="3"/>
  <c r="L28" i="3"/>
  <c r="S27" i="3"/>
  <c r="T27" i="3"/>
  <c r="U27" i="3"/>
  <c r="O27" i="3"/>
  <c r="Q27" i="3"/>
  <c r="R27" i="3"/>
  <c r="N27" i="3"/>
  <c r="P27" i="3"/>
  <c r="M27" i="3"/>
  <c r="L118" i="3"/>
  <c r="S117" i="3"/>
  <c r="T117" i="3"/>
  <c r="U117" i="3"/>
  <c r="O117" i="3"/>
  <c r="Q117" i="3"/>
  <c r="R117" i="3"/>
  <c r="M117" i="3"/>
  <c r="N117" i="3"/>
  <c r="P117" i="3"/>
  <c r="Y117" i="3" l="1"/>
  <c r="AJ117" i="3"/>
  <c r="Y27" i="3"/>
  <c r="AJ27" i="3"/>
  <c r="AD58" i="3"/>
  <c r="AO58" i="3"/>
  <c r="Y86" i="3"/>
  <c r="AJ86" i="3"/>
  <c r="AE117" i="3"/>
  <c r="AP117" i="3"/>
  <c r="AE27" i="3"/>
  <c r="AP27" i="3"/>
  <c r="Z58" i="3"/>
  <c r="AK58" i="3"/>
  <c r="AC58" i="3"/>
  <c r="AN58" i="3"/>
  <c r="AE86" i="3"/>
  <c r="AP86" i="3"/>
  <c r="AD117" i="3"/>
  <c r="AO117" i="3"/>
  <c r="AD27" i="3"/>
  <c r="AO27" i="3"/>
  <c r="X58" i="3"/>
  <c r="AI58" i="3"/>
  <c r="AD86" i="3"/>
  <c r="AO86" i="3"/>
  <c r="Z117" i="3"/>
  <c r="AK117" i="3"/>
  <c r="AC117" i="3"/>
  <c r="AN117" i="3"/>
  <c r="W27" i="3"/>
  <c r="AH27" i="3"/>
  <c r="AC27" i="3"/>
  <c r="AN27" i="3"/>
  <c r="W58" i="3"/>
  <c r="AH58" i="3"/>
  <c r="Z86" i="3"/>
  <c r="AK86" i="3"/>
  <c r="AC86" i="3"/>
  <c r="AN86" i="3"/>
  <c r="X117" i="3"/>
  <c r="AI117" i="3"/>
  <c r="Z27" i="3"/>
  <c r="AK27" i="3"/>
  <c r="AB58" i="3"/>
  <c r="AM58" i="3"/>
  <c r="X86" i="3"/>
  <c r="AI86" i="3"/>
  <c r="W117" i="3"/>
  <c r="AH117" i="3"/>
  <c r="X27" i="3"/>
  <c r="AI27" i="3"/>
  <c r="AA58" i="3"/>
  <c r="AL58" i="3"/>
  <c r="W86" i="3"/>
  <c r="AH86" i="3"/>
  <c r="AB117" i="3"/>
  <c r="AM117" i="3"/>
  <c r="AB27" i="3"/>
  <c r="AM27" i="3"/>
  <c r="Y58" i="3"/>
  <c r="AJ58" i="3"/>
  <c r="AB86" i="3"/>
  <c r="AM86" i="3"/>
  <c r="AA117" i="3"/>
  <c r="AL117" i="3"/>
  <c r="AA27" i="3"/>
  <c r="AL27" i="3"/>
  <c r="AE58" i="3"/>
  <c r="AP58" i="3"/>
  <c r="AA86" i="3"/>
  <c r="AL86" i="3"/>
  <c r="L29" i="3"/>
  <c r="S28" i="3"/>
  <c r="T28" i="3"/>
  <c r="U28" i="3"/>
  <c r="O28" i="3"/>
  <c r="Q28" i="3"/>
  <c r="R28" i="3"/>
  <c r="N28" i="3"/>
  <c r="P28" i="3"/>
  <c r="M28" i="3"/>
  <c r="L60" i="3"/>
  <c r="S59" i="3"/>
  <c r="T59" i="3"/>
  <c r="U59" i="3"/>
  <c r="O59" i="3"/>
  <c r="Q59" i="3"/>
  <c r="R59" i="3"/>
  <c r="N59" i="3"/>
  <c r="P59" i="3"/>
  <c r="M59" i="3"/>
  <c r="L88" i="3"/>
  <c r="S87" i="3"/>
  <c r="T87" i="3"/>
  <c r="U87" i="3"/>
  <c r="O87" i="3"/>
  <c r="Q87" i="3"/>
  <c r="R87" i="3"/>
  <c r="N87" i="3"/>
  <c r="P87" i="3"/>
  <c r="M87" i="3"/>
  <c r="L119" i="3"/>
  <c r="S118" i="3"/>
  <c r="T118" i="3"/>
  <c r="U118" i="3"/>
  <c r="O118" i="3"/>
  <c r="Q118" i="3"/>
  <c r="R118" i="3"/>
  <c r="M118" i="3"/>
  <c r="N118" i="3"/>
  <c r="P118" i="3"/>
  <c r="AE118" i="3" l="1"/>
  <c r="AP118" i="3"/>
  <c r="W87" i="3"/>
  <c r="AH87" i="3"/>
  <c r="AC87" i="3"/>
  <c r="AN87" i="3"/>
  <c r="Z59" i="3"/>
  <c r="AK59" i="3"/>
  <c r="X28" i="3"/>
  <c r="AI28" i="3"/>
  <c r="AD118" i="3"/>
  <c r="AO118" i="3"/>
  <c r="Z87" i="3"/>
  <c r="AK87" i="3"/>
  <c r="X59" i="3"/>
  <c r="AI59" i="3"/>
  <c r="AB28" i="3"/>
  <c r="AM28" i="3"/>
  <c r="Z118" i="3"/>
  <c r="AK118" i="3"/>
  <c r="AC118" i="3"/>
  <c r="AN118" i="3"/>
  <c r="X87" i="3"/>
  <c r="AI87" i="3"/>
  <c r="AB59" i="3"/>
  <c r="AM59" i="3"/>
  <c r="AA28" i="3"/>
  <c r="AL28" i="3"/>
  <c r="X118" i="3"/>
  <c r="AI118" i="3"/>
  <c r="AB87" i="3"/>
  <c r="AM87" i="3"/>
  <c r="AA59" i="3"/>
  <c r="AL59" i="3"/>
  <c r="Y28" i="3"/>
  <c r="AJ28" i="3"/>
  <c r="W118" i="3"/>
  <c r="AH118" i="3"/>
  <c r="AA87" i="3"/>
  <c r="AL87" i="3"/>
  <c r="Y59" i="3"/>
  <c r="AJ59" i="3"/>
  <c r="AE28" i="3"/>
  <c r="AP28" i="3"/>
  <c r="AB118" i="3"/>
  <c r="AM118" i="3"/>
  <c r="Y87" i="3"/>
  <c r="AJ87" i="3"/>
  <c r="AE59" i="3"/>
  <c r="AP59" i="3"/>
  <c r="AD28" i="3"/>
  <c r="AO28" i="3"/>
  <c r="AA118" i="3"/>
  <c r="AL118" i="3"/>
  <c r="AE87" i="3"/>
  <c r="AP87" i="3"/>
  <c r="AD59" i="3"/>
  <c r="AO59" i="3"/>
  <c r="W28" i="3"/>
  <c r="AH28" i="3"/>
  <c r="AC28" i="3"/>
  <c r="AN28" i="3"/>
  <c r="Y118" i="3"/>
  <c r="AJ118" i="3"/>
  <c r="AD87" i="3"/>
  <c r="AO87" i="3"/>
  <c r="W59" i="3"/>
  <c r="AH59" i="3"/>
  <c r="AC59" i="3"/>
  <c r="AN59" i="3"/>
  <c r="Z28" i="3"/>
  <c r="AK28" i="3"/>
  <c r="L120" i="3"/>
  <c r="S119" i="3"/>
  <c r="T119" i="3"/>
  <c r="U119" i="3"/>
  <c r="O119" i="3"/>
  <c r="Q119" i="3"/>
  <c r="R119" i="3"/>
  <c r="N119" i="3"/>
  <c r="P119" i="3"/>
  <c r="M119" i="3"/>
  <c r="L61" i="3"/>
  <c r="S60" i="3"/>
  <c r="T60" i="3"/>
  <c r="U60" i="3"/>
  <c r="O60" i="3"/>
  <c r="Q60" i="3"/>
  <c r="R60" i="3"/>
  <c r="N60" i="3"/>
  <c r="P60" i="3"/>
  <c r="M60" i="3"/>
  <c r="L89" i="3"/>
  <c r="S88" i="3"/>
  <c r="T88" i="3"/>
  <c r="U88" i="3"/>
  <c r="O88" i="3"/>
  <c r="Q88" i="3"/>
  <c r="R88" i="3"/>
  <c r="N88" i="3"/>
  <c r="P88" i="3"/>
  <c r="M88" i="3"/>
  <c r="L30" i="3"/>
  <c r="S29" i="3"/>
  <c r="T29" i="3"/>
  <c r="U29" i="3"/>
  <c r="O29" i="3"/>
  <c r="Q29" i="3"/>
  <c r="R29" i="3"/>
  <c r="M29" i="3"/>
  <c r="N29" i="3"/>
  <c r="P29" i="3"/>
  <c r="AB119" i="3" l="1"/>
  <c r="AM119" i="3"/>
  <c r="AB29" i="3"/>
  <c r="AM29" i="3"/>
  <c r="W88" i="3"/>
  <c r="AH88" i="3"/>
  <c r="AD29" i="3"/>
  <c r="AO29" i="3"/>
  <c r="Z88" i="3"/>
  <c r="AK88" i="3"/>
  <c r="AD60" i="3"/>
  <c r="AO60" i="3"/>
  <c r="Y119" i="3"/>
  <c r="AJ119" i="3"/>
  <c r="AE29" i="3"/>
  <c r="AP29" i="3"/>
  <c r="AE60" i="3"/>
  <c r="AP60" i="3"/>
  <c r="AA119" i="3"/>
  <c r="AL119" i="3"/>
  <c r="Z29" i="3"/>
  <c r="AK29" i="3"/>
  <c r="AC29" i="3"/>
  <c r="AN29" i="3"/>
  <c r="X88" i="3"/>
  <c r="AI88" i="3"/>
  <c r="W60" i="3"/>
  <c r="AH60" i="3"/>
  <c r="AC60" i="3"/>
  <c r="AN60" i="3"/>
  <c r="AE119" i="3"/>
  <c r="AP119" i="3"/>
  <c r="Y29" i="3"/>
  <c r="AJ29" i="3"/>
  <c r="AD88" i="3"/>
  <c r="AO88" i="3"/>
  <c r="Y60" i="3"/>
  <c r="AJ60" i="3"/>
  <c r="X29" i="3"/>
  <c r="AI29" i="3"/>
  <c r="AB88" i="3"/>
  <c r="AM88" i="3"/>
  <c r="Z60" i="3"/>
  <c r="AK60" i="3"/>
  <c r="AD119" i="3"/>
  <c r="AO119" i="3"/>
  <c r="AC88" i="3"/>
  <c r="AN88" i="3"/>
  <c r="W29" i="3"/>
  <c r="AH29" i="3"/>
  <c r="AA88" i="3"/>
  <c r="AL88" i="3"/>
  <c r="X60" i="3"/>
  <c r="AI60" i="3"/>
  <c r="W119" i="3"/>
  <c r="AH119" i="3"/>
  <c r="AC119" i="3"/>
  <c r="AN119" i="3"/>
  <c r="Y88" i="3"/>
  <c r="AJ88" i="3"/>
  <c r="AB60" i="3"/>
  <c r="AM60" i="3"/>
  <c r="Z119" i="3"/>
  <c r="AK119" i="3"/>
  <c r="AA29" i="3"/>
  <c r="AL29" i="3"/>
  <c r="AE88" i="3"/>
  <c r="AP88" i="3"/>
  <c r="AA60" i="3"/>
  <c r="AL60" i="3"/>
  <c r="X119" i="3"/>
  <c r="AI119" i="3"/>
  <c r="S61" i="3"/>
  <c r="T61" i="3"/>
  <c r="U61" i="3"/>
  <c r="O61" i="3"/>
  <c r="Q61" i="3"/>
  <c r="R61" i="3"/>
  <c r="M61" i="3"/>
  <c r="N61" i="3"/>
  <c r="P61" i="3"/>
  <c r="L121" i="3"/>
  <c r="S120" i="3"/>
  <c r="T120" i="3"/>
  <c r="U120" i="3"/>
  <c r="O120" i="3"/>
  <c r="Q120" i="3"/>
  <c r="R120" i="3"/>
  <c r="N120" i="3"/>
  <c r="P120" i="3"/>
  <c r="M120" i="3"/>
  <c r="L31" i="3"/>
  <c r="S30" i="3"/>
  <c r="T30" i="3"/>
  <c r="U30" i="3"/>
  <c r="O30" i="3"/>
  <c r="Q30" i="3"/>
  <c r="R30" i="3"/>
  <c r="M30" i="3"/>
  <c r="N30" i="3"/>
  <c r="P30" i="3"/>
  <c r="L90" i="3"/>
  <c r="S89" i="3"/>
  <c r="T89" i="3"/>
  <c r="U89" i="3"/>
  <c r="O89" i="3"/>
  <c r="Q89" i="3"/>
  <c r="R89" i="3"/>
  <c r="N89" i="3"/>
  <c r="M89" i="3"/>
  <c r="P89" i="3"/>
  <c r="B18" i="2"/>
  <c r="X61" i="3" l="1"/>
  <c r="AI61" i="3"/>
  <c r="W30" i="3"/>
  <c r="AH30" i="3"/>
  <c r="AE89" i="3"/>
  <c r="AP89" i="3"/>
  <c r="AB30" i="3"/>
  <c r="AM30" i="3"/>
  <c r="AB120" i="3"/>
  <c r="AM120" i="3"/>
  <c r="AB61" i="3"/>
  <c r="AM61" i="3"/>
  <c r="X120" i="3"/>
  <c r="AI120" i="3"/>
  <c r="W61" i="3"/>
  <c r="AH61" i="3"/>
  <c r="AD89" i="3"/>
  <c r="AO89" i="3"/>
  <c r="AA30" i="3"/>
  <c r="AL30" i="3"/>
  <c r="AA120" i="3"/>
  <c r="AL120" i="3"/>
  <c r="AA61" i="3"/>
  <c r="AL61" i="3"/>
  <c r="Z120" i="3"/>
  <c r="AK120" i="3"/>
  <c r="Y120" i="3"/>
  <c r="AJ120" i="3"/>
  <c r="AA89" i="3"/>
  <c r="AL89" i="3"/>
  <c r="Y89" i="3"/>
  <c r="AJ89" i="3"/>
  <c r="Y30" i="3"/>
  <c r="AJ30" i="3"/>
  <c r="W89" i="3"/>
  <c r="AH89" i="3"/>
  <c r="AE30" i="3"/>
  <c r="AP30" i="3"/>
  <c r="AE120" i="3"/>
  <c r="AP120" i="3"/>
  <c r="AE61" i="3"/>
  <c r="AP61" i="3"/>
  <c r="X30" i="3"/>
  <c r="AI30" i="3"/>
  <c r="Z89" i="3"/>
  <c r="AK89" i="3"/>
  <c r="Y61" i="3"/>
  <c r="AJ61" i="3"/>
  <c r="X89" i="3"/>
  <c r="AI89" i="3"/>
  <c r="AD30" i="3"/>
  <c r="AO30" i="3"/>
  <c r="AD120" i="3"/>
  <c r="AO120" i="3"/>
  <c r="AD61" i="3"/>
  <c r="AO61" i="3"/>
  <c r="AC89" i="3"/>
  <c r="AN89" i="3"/>
  <c r="AB89" i="3"/>
  <c r="AM89" i="3"/>
  <c r="Z30" i="3"/>
  <c r="AK30" i="3"/>
  <c r="AC30" i="3"/>
  <c r="AN30" i="3"/>
  <c r="W120" i="3"/>
  <c r="AH120" i="3"/>
  <c r="AC120" i="3"/>
  <c r="AN120" i="3"/>
  <c r="Z61" i="3"/>
  <c r="AK61" i="3"/>
  <c r="AC61" i="3"/>
  <c r="AN61" i="3"/>
  <c r="L91" i="3"/>
  <c r="S90" i="3"/>
  <c r="T90" i="3"/>
  <c r="U90" i="3"/>
  <c r="O90" i="3"/>
  <c r="Q90" i="3"/>
  <c r="R90" i="3"/>
  <c r="M90" i="3"/>
  <c r="N90" i="3"/>
  <c r="P90" i="3"/>
  <c r="L32" i="3"/>
  <c r="S31" i="3"/>
  <c r="T31" i="3"/>
  <c r="U31" i="3"/>
  <c r="O31" i="3"/>
  <c r="Q31" i="3"/>
  <c r="R31" i="3"/>
  <c r="N31" i="3"/>
  <c r="P31" i="3"/>
  <c r="M31" i="3"/>
  <c r="L122" i="3"/>
  <c r="S121" i="3"/>
  <c r="T121" i="3"/>
  <c r="U121" i="3"/>
  <c r="O121" i="3"/>
  <c r="Q121" i="3"/>
  <c r="R121" i="3"/>
  <c r="N121" i="3"/>
  <c r="M121" i="3"/>
  <c r="P121" i="3"/>
  <c r="AC31" i="3" l="1"/>
  <c r="AN31" i="3"/>
  <c r="AA121" i="3"/>
  <c r="AL121" i="3"/>
  <c r="Z31" i="3"/>
  <c r="AK31" i="3"/>
  <c r="AD90" i="3"/>
  <c r="AO90" i="3"/>
  <c r="AB121" i="3"/>
  <c r="AM121" i="3"/>
  <c r="Y121" i="3"/>
  <c r="AJ121" i="3"/>
  <c r="X31" i="3"/>
  <c r="AI31" i="3"/>
  <c r="Z90" i="3"/>
  <c r="AK90" i="3"/>
  <c r="AC90" i="3"/>
  <c r="AN90" i="3"/>
  <c r="AE90" i="3"/>
  <c r="AP90" i="3"/>
  <c r="AE121" i="3"/>
  <c r="AP121" i="3"/>
  <c r="AB31" i="3"/>
  <c r="AM31" i="3"/>
  <c r="X90" i="3"/>
  <c r="AI90" i="3"/>
  <c r="AD121" i="3"/>
  <c r="AO121" i="3"/>
  <c r="AA31" i="3"/>
  <c r="AL31" i="3"/>
  <c r="W90" i="3"/>
  <c r="AH90" i="3"/>
  <c r="Z121" i="3"/>
  <c r="AK121" i="3"/>
  <c r="AC121" i="3"/>
  <c r="AN121" i="3"/>
  <c r="Y31" i="3"/>
  <c r="AJ31" i="3"/>
  <c r="AB90" i="3"/>
  <c r="AM90" i="3"/>
  <c r="W121" i="3"/>
  <c r="AH121" i="3"/>
  <c r="AE31" i="3"/>
  <c r="AP31" i="3"/>
  <c r="AA90" i="3"/>
  <c r="AL90" i="3"/>
  <c r="W31" i="3"/>
  <c r="AH31" i="3"/>
  <c r="X121" i="3"/>
  <c r="AI121" i="3"/>
  <c r="AD31" i="3"/>
  <c r="AO31" i="3"/>
  <c r="Y90" i="3"/>
  <c r="AJ90" i="3"/>
  <c r="S122" i="3"/>
  <c r="T122" i="3"/>
  <c r="U122" i="3"/>
  <c r="O122" i="3"/>
  <c r="Q122" i="3"/>
  <c r="R122" i="3"/>
  <c r="M122" i="3"/>
  <c r="N122" i="3"/>
  <c r="P122" i="3"/>
  <c r="L33" i="3"/>
  <c r="S32" i="3"/>
  <c r="T32" i="3"/>
  <c r="U32" i="3"/>
  <c r="O32" i="3"/>
  <c r="Q32" i="3"/>
  <c r="R32" i="3"/>
  <c r="N32" i="3"/>
  <c r="P32" i="3"/>
  <c r="M32" i="3"/>
  <c r="L92" i="3"/>
  <c r="S91" i="3"/>
  <c r="T91" i="3"/>
  <c r="U91" i="3"/>
  <c r="O91" i="3"/>
  <c r="Q91" i="3"/>
  <c r="R91" i="3"/>
  <c r="N91" i="3"/>
  <c r="P91" i="3"/>
  <c r="M91" i="3"/>
  <c r="AC32" i="3" l="1"/>
  <c r="AN32" i="3"/>
  <c r="AC91" i="3"/>
  <c r="AN91" i="3"/>
  <c r="Z91" i="3"/>
  <c r="AK91" i="3"/>
  <c r="X32" i="3"/>
  <c r="AI32" i="3"/>
  <c r="AE122" i="3"/>
  <c r="AP122" i="3"/>
  <c r="AA122" i="3"/>
  <c r="AL122" i="3"/>
  <c r="W91" i="3"/>
  <c r="AH91" i="3"/>
  <c r="X91" i="3"/>
  <c r="AI91" i="3"/>
  <c r="AB32" i="3"/>
  <c r="AM32" i="3"/>
  <c r="AD122" i="3"/>
  <c r="AO122" i="3"/>
  <c r="AB91" i="3"/>
  <c r="AM91" i="3"/>
  <c r="AA32" i="3"/>
  <c r="AL32" i="3"/>
  <c r="Z122" i="3"/>
  <c r="AK122" i="3"/>
  <c r="AC122" i="3"/>
  <c r="AN122" i="3"/>
  <c r="AA91" i="3"/>
  <c r="AL91" i="3"/>
  <c r="Y32" i="3"/>
  <c r="AJ32" i="3"/>
  <c r="X122" i="3"/>
  <c r="AI122" i="3"/>
  <c r="W32" i="3"/>
  <c r="AH32" i="3"/>
  <c r="Z32" i="3"/>
  <c r="AK32" i="3"/>
  <c r="Y122" i="3"/>
  <c r="AJ122" i="3"/>
  <c r="Y91" i="3"/>
  <c r="AJ91" i="3"/>
  <c r="AE32" i="3"/>
  <c r="AP32" i="3"/>
  <c r="W122" i="3"/>
  <c r="AH122" i="3"/>
  <c r="AD91" i="3"/>
  <c r="AO91" i="3"/>
  <c r="AE91" i="3"/>
  <c r="AP91" i="3"/>
  <c r="AD32" i="3"/>
  <c r="AO32" i="3"/>
  <c r="AB122" i="3"/>
  <c r="AM122" i="3"/>
  <c r="S33" i="3"/>
  <c r="T33" i="3"/>
  <c r="U33" i="3"/>
  <c r="O33" i="3"/>
  <c r="Q33" i="3"/>
  <c r="R33" i="3"/>
  <c r="N33" i="3"/>
  <c r="M33" i="3"/>
  <c r="P33" i="3"/>
  <c r="S92" i="3"/>
  <c r="T92" i="3"/>
  <c r="U92" i="3"/>
  <c r="O92" i="3"/>
  <c r="Q92" i="3"/>
  <c r="R92" i="3"/>
  <c r="N92" i="3"/>
  <c r="P92" i="3"/>
  <c r="M92" i="3"/>
  <c r="W92" i="3" l="1"/>
  <c r="AH92" i="3"/>
  <c r="AC92" i="3"/>
  <c r="AN92" i="3"/>
  <c r="X33" i="3"/>
  <c r="AI33" i="3"/>
  <c r="Z92" i="3"/>
  <c r="AK92" i="3"/>
  <c r="X92" i="3"/>
  <c r="AI92" i="3"/>
  <c r="AA33" i="3"/>
  <c r="AL33" i="3"/>
  <c r="AB92" i="3"/>
  <c r="AM92" i="3"/>
  <c r="Y33" i="3"/>
  <c r="AJ33" i="3"/>
  <c r="W33" i="3"/>
  <c r="AH33" i="3"/>
  <c r="AA92" i="3"/>
  <c r="AL92" i="3"/>
  <c r="AE33" i="3"/>
  <c r="AP33" i="3"/>
  <c r="AD92" i="3"/>
  <c r="AO92" i="3"/>
  <c r="AB33" i="3"/>
  <c r="AM33" i="3"/>
  <c r="Y92" i="3"/>
  <c r="AJ92" i="3"/>
  <c r="AD33" i="3"/>
  <c r="AO33" i="3"/>
  <c r="AE92" i="3"/>
  <c r="AP92" i="3"/>
  <c r="Z33" i="3"/>
  <c r="AK33" i="3"/>
  <c r="AC33" i="3"/>
  <c r="AN33" i="3"/>
  <c r="V3" i="3" l="1"/>
  <c r="AG3" i="3" l="1"/>
  <c r="AQ3" i="3" s="1"/>
  <c r="AF3" i="3"/>
  <c r="AG11" i="3" l="1"/>
  <c r="AQ11" i="3" s="1"/>
  <c r="AG25" i="3"/>
  <c r="AQ25" i="3" s="1"/>
  <c r="V32" i="3"/>
  <c r="AF32" i="3" s="1"/>
  <c r="V30" i="3"/>
  <c r="AF30" i="3" s="1"/>
  <c r="V12" i="3"/>
  <c r="AF12" i="3" s="1"/>
  <c r="V24" i="3"/>
  <c r="AF24" i="3" s="1"/>
  <c r="V26" i="3"/>
  <c r="AF26" i="3" s="1"/>
  <c r="V6" i="3"/>
  <c r="AF6" i="3" s="1"/>
  <c r="V13" i="3"/>
  <c r="AF13" i="3" s="1"/>
  <c r="V8" i="3"/>
  <c r="AF8" i="3" s="1"/>
  <c r="V20" i="3"/>
  <c r="AF20" i="3" s="1"/>
  <c r="V7" i="3"/>
  <c r="AF7" i="3" s="1"/>
  <c r="V16" i="3"/>
  <c r="AF16" i="3" s="1"/>
  <c r="V10" i="3"/>
  <c r="AF10" i="3" s="1"/>
  <c r="V31" i="3"/>
  <c r="AF31" i="3" s="1"/>
  <c r="V27" i="3"/>
  <c r="AF27" i="3" s="1"/>
  <c r="V19" i="3"/>
  <c r="AF19" i="3" s="1"/>
  <c r="V23" i="3"/>
  <c r="AF23" i="3" s="1"/>
  <c r="V9" i="3"/>
  <c r="AF9" i="3" s="1"/>
  <c r="V33" i="3"/>
  <c r="AF33" i="3" s="1"/>
  <c r="V34" i="3" s="1"/>
  <c r="V18" i="3"/>
  <c r="AF18" i="3" s="1"/>
  <c r="V22" i="3"/>
  <c r="AF22" i="3" s="1"/>
  <c r="V11" i="3"/>
  <c r="AF11" i="3" s="1"/>
  <c r="V28" i="3"/>
  <c r="AF28" i="3" s="1"/>
  <c r="V29" i="3"/>
  <c r="AF29" i="3" s="1"/>
  <c r="V4" i="3"/>
  <c r="AF4" i="3" s="1"/>
  <c r="V25" i="3"/>
  <c r="AF25" i="3" s="1"/>
  <c r="V21" i="3"/>
  <c r="AF21" i="3" s="1"/>
  <c r="V15" i="3"/>
  <c r="AF15" i="3" s="1"/>
  <c r="V14" i="3"/>
  <c r="AF14" i="3" s="1"/>
  <c r="V5" i="3"/>
  <c r="AF5" i="3" s="1"/>
  <c r="V17" i="3"/>
  <c r="AF17" i="3" s="1"/>
  <c r="AG17" i="3"/>
  <c r="AQ17" i="3" s="1"/>
  <c r="AG9" i="3"/>
  <c r="AQ9" i="3" s="1"/>
  <c r="AG26" i="3"/>
  <c r="AQ26" i="3" s="1"/>
  <c r="AG12" i="3"/>
  <c r="AQ12" i="3" s="1"/>
  <c r="AG30" i="3"/>
  <c r="AQ30" i="3" s="1"/>
  <c r="AG4" i="3"/>
  <c r="AQ4" i="3" s="1"/>
  <c r="AG10" i="3"/>
  <c r="AQ10" i="3" s="1"/>
  <c r="AG24" i="3"/>
  <c r="AQ24" i="3" s="1"/>
  <c r="AG22" i="3"/>
  <c r="AQ22" i="3" s="1"/>
  <c r="AG28" i="3"/>
  <c r="AQ28" i="3" s="1"/>
  <c r="AG15" i="3"/>
  <c r="AQ15" i="3" s="1"/>
  <c r="AG29" i="3"/>
  <c r="AQ29" i="3" s="1"/>
  <c r="AG18" i="3"/>
  <c r="AQ18" i="3" s="1"/>
  <c r="AG27" i="3"/>
  <c r="AQ27" i="3" s="1"/>
  <c r="AG21" i="3"/>
  <c r="AQ21" i="3" s="1"/>
  <c r="AG16" i="3"/>
  <c r="AQ16" i="3" s="1"/>
  <c r="AG14" i="3"/>
  <c r="AQ14" i="3" s="1"/>
  <c r="AG31" i="3"/>
  <c r="AQ31" i="3" s="1"/>
  <c r="AG13" i="3"/>
  <c r="AQ13" i="3" s="1"/>
  <c r="AG23" i="3"/>
  <c r="AQ23" i="3" s="1"/>
  <c r="AG5" i="3"/>
  <c r="AQ5" i="3" s="1"/>
  <c r="AG20" i="3"/>
  <c r="AQ20" i="3" s="1"/>
  <c r="AG7" i="3"/>
  <c r="AQ7" i="3" s="1"/>
  <c r="AG32" i="3"/>
  <c r="AQ32" i="3" s="1"/>
  <c r="AG19" i="3"/>
  <c r="AQ19" i="3" s="1"/>
  <c r="AG33" i="3"/>
  <c r="AQ33" i="3" s="1"/>
  <c r="AG8" i="3"/>
  <c r="AQ8" i="3" s="1"/>
  <c r="AG6" i="3"/>
  <c r="AQ6" i="3" s="1"/>
  <c r="V50" i="3"/>
  <c r="V48" i="3" l="1"/>
  <c r="AF48" i="3" s="1"/>
  <c r="V55" i="3"/>
  <c r="V56" i="3"/>
  <c r="AF56" i="3" s="1"/>
  <c r="V36" i="3"/>
  <c r="AF36" i="3" s="1"/>
  <c r="V53" i="3"/>
  <c r="AF53" i="3" s="1"/>
  <c r="V47" i="3"/>
  <c r="AF47" i="3" s="1"/>
  <c r="V60" i="3"/>
  <c r="AF60" i="3" s="1"/>
  <c r="V52" i="3"/>
  <c r="AF52" i="3" s="1"/>
  <c r="V46" i="3"/>
  <c r="AF46" i="3" s="1"/>
  <c r="V61" i="3"/>
  <c r="AF61" i="3" s="1"/>
  <c r="V44" i="3"/>
  <c r="AF44" i="3" s="1"/>
  <c r="V51" i="3"/>
  <c r="AF51" i="3" s="1"/>
  <c r="V43" i="3"/>
  <c r="AF43" i="3" s="1"/>
  <c r="V41" i="3"/>
  <c r="AF41" i="3" s="1"/>
  <c r="V37" i="3"/>
  <c r="V42" i="3"/>
  <c r="V38" i="3"/>
  <c r="V58" i="3"/>
  <c r="AF58" i="3" s="1"/>
  <c r="V54" i="3"/>
  <c r="AF54" i="3" s="1"/>
  <c r="V35" i="3"/>
  <c r="AF35" i="3" s="1"/>
  <c r="V59" i="3"/>
  <c r="AF59" i="3" s="1"/>
  <c r="V39" i="3"/>
  <c r="AF39" i="3" s="1"/>
  <c r="V40" i="3"/>
  <c r="AF40" i="3" s="1"/>
  <c r="V57" i="3"/>
  <c r="AF57" i="3" s="1"/>
  <c r="V49" i="3"/>
  <c r="AF49" i="3" s="1"/>
  <c r="V45" i="3"/>
  <c r="AF45" i="3" s="1"/>
  <c r="AG38" i="3"/>
  <c r="AQ38" i="3" s="1"/>
  <c r="AG46" i="3"/>
  <c r="AQ46" i="3" s="1"/>
  <c r="AG54" i="3"/>
  <c r="AQ54" i="3" s="1"/>
  <c r="AG39" i="3"/>
  <c r="AQ39" i="3" s="1"/>
  <c r="AG47" i="3"/>
  <c r="AQ47" i="3" s="1"/>
  <c r="AG55" i="3"/>
  <c r="AQ55" i="3" s="1"/>
  <c r="AG40" i="3"/>
  <c r="AQ40" i="3" s="1"/>
  <c r="AG48" i="3"/>
  <c r="AQ48" i="3" s="1"/>
  <c r="AG56" i="3"/>
  <c r="AQ56" i="3" s="1"/>
  <c r="AG41" i="3"/>
  <c r="AQ41" i="3" s="1"/>
  <c r="AG49" i="3"/>
  <c r="AQ49" i="3" s="1"/>
  <c r="AG57" i="3"/>
  <c r="AQ57" i="3" s="1"/>
  <c r="AG34" i="3"/>
  <c r="AQ34" i="3" s="1"/>
  <c r="AG42" i="3"/>
  <c r="AQ42" i="3" s="1"/>
  <c r="AG50" i="3"/>
  <c r="AQ50" i="3" s="1"/>
  <c r="AG58" i="3"/>
  <c r="AQ58" i="3" s="1"/>
  <c r="AG53" i="3"/>
  <c r="AQ53" i="3" s="1"/>
  <c r="AG35" i="3"/>
  <c r="AQ35" i="3" s="1"/>
  <c r="AG43" i="3"/>
  <c r="AQ43" i="3" s="1"/>
  <c r="AG51" i="3"/>
  <c r="AQ51" i="3" s="1"/>
  <c r="AG59" i="3"/>
  <c r="AQ59" i="3" s="1"/>
  <c r="AG37" i="3"/>
  <c r="AQ37" i="3" s="1"/>
  <c r="AG61" i="3"/>
  <c r="AQ61" i="3" s="1"/>
  <c r="AG36" i="3"/>
  <c r="AQ36" i="3" s="1"/>
  <c r="AG44" i="3"/>
  <c r="AQ44" i="3" s="1"/>
  <c r="AG52" i="3"/>
  <c r="AQ52" i="3" s="1"/>
  <c r="AG60" i="3"/>
  <c r="AQ60" i="3" s="1"/>
  <c r="AG45" i="3"/>
  <c r="AQ45" i="3" s="1"/>
  <c r="AF37" i="3"/>
  <c r="AF42" i="3"/>
  <c r="AF38" i="3"/>
  <c r="AF55" i="3"/>
  <c r="AF34" i="3"/>
  <c r="AF50" i="3"/>
  <c r="V82" i="3" l="1"/>
  <c r="V72" i="3"/>
  <c r="V76" i="3"/>
  <c r="V78" i="3"/>
  <c r="V68" i="3"/>
  <c r="V75" i="3"/>
  <c r="V62" i="3"/>
  <c r="V65" i="3"/>
  <c r="V89" i="3"/>
  <c r="V92" i="3"/>
  <c r="V73" i="3"/>
  <c r="V83" i="3"/>
  <c r="V67" i="3"/>
  <c r="V64" i="3"/>
  <c r="V63" i="3"/>
  <c r="V84" i="3"/>
  <c r="V70" i="3"/>
  <c r="V71" i="3"/>
  <c r="V86" i="3"/>
  <c r="V77" i="3"/>
  <c r="V74" i="3"/>
  <c r="V66" i="3"/>
  <c r="V90" i="3"/>
  <c r="V87" i="3"/>
  <c r="V88" i="3"/>
  <c r="V79" i="3"/>
  <c r="V85" i="3"/>
  <c r="V69" i="3"/>
  <c r="V80" i="3"/>
  <c r="V81" i="3"/>
  <c r="V91" i="3"/>
  <c r="AG62" i="3" l="1"/>
  <c r="AQ62" i="3" s="1"/>
  <c r="AG70" i="3"/>
  <c r="AQ70" i="3" s="1"/>
  <c r="AG78" i="3"/>
  <c r="AQ78" i="3" s="1"/>
  <c r="AG86" i="3"/>
  <c r="AQ86" i="3" s="1"/>
  <c r="AG63" i="3"/>
  <c r="AQ63" i="3" s="1"/>
  <c r="AG71" i="3"/>
  <c r="AQ71" i="3" s="1"/>
  <c r="AG79" i="3"/>
  <c r="AQ79" i="3" s="1"/>
  <c r="AG87" i="3"/>
  <c r="AQ87" i="3" s="1"/>
  <c r="AG64" i="3"/>
  <c r="AQ64" i="3" s="1"/>
  <c r="AG72" i="3"/>
  <c r="AQ72" i="3" s="1"/>
  <c r="AG80" i="3"/>
  <c r="AQ80" i="3" s="1"/>
  <c r="AG88" i="3"/>
  <c r="AQ88" i="3" s="1"/>
  <c r="AG65" i="3"/>
  <c r="AQ65" i="3" s="1"/>
  <c r="AG73" i="3"/>
  <c r="AQ73" i="3" s="1"/>
  <c r="AG81" i="3"/>
  <c r="AQ81" i="3" s="1"/>
  <c r="AG89" i="3"/>
  <c r="AQ89" i="3" s="1"/>
  <c r="AG66" i="3"/>
  <c r="AQ66" i="3" s="1"/>
  <c r="AG74" i="3"/>
  <c r="AQ74" i="3" s="1"/>
  <c r="AG82" i="3"/>
  <c r="AQ82" i="3" s="1"/>
  <c r="AG90" i="3"/>
  <c r="AQ90" i="3" s="1"/>
  <c r="AG85" i="3"/>
  <c r="AQ85" i="3" s="1"/>
  <c r="AG67" i="3"/>
  <c r="AQ67" i="3" s="1"/>
  <c r="AG75" i="3"/>
  <c r="AQ75" i="3" s="1"/>
  <c r="AG83" i="3"/>
  <c r="AQ83" i="3" s="1"/>
  <c r="AG91" i="3"/>
  <c r="AQ91" i="3" s="1"/>
  <c r="AG77" i="3"/>
  <c r="AQ77" i="3" s="1"/>
  <c r="AG68" i="3"/>
  <c r="AQ68" i="3" s="1"/>
  <c r="AG76" i="3"/>
  <c r="AQ76" i="3" s="1"/>
  <c r="AG84" i="3"/>
  <c r="AQ84" i="3" s="1"/>
  <c r="AG92" i="3"/>
  <c r="AQ92" i="3" s="1"/>
  <c r="AG69" i="3"/>
  <c r="AQ69" i="3" s="1"/>
  <c r="AF87" i="3"/>
  <c r="AF81" i="3"/>
  <c r="AF63" i="3"/>
  <c r="AF62" i="3"/>
  <c r="AF82" i="3"/>
  <c r="AF66" i="3"/>
  <c r="AF75" i="3"/>
  <c r="AF91" i="3"/>
  <c r="AF80" i="3"/>
  <c r="AF67" i="3"/>
  <c r="AF68" i="3"/>
  <c r="AF70" i="3"/>
  <c r="AF65" i="3"/>
  <c r="AF69" i="3"/>
  <c r="AF77" i="3"/>
  <c r="AF83" i="3"/>
  <c r="AF78" i="3"/>
  <c r="AF89" i="3"/>
  <c r="AF64" i="3"/>
  <c r="AF85" i="3"/>
  <c r="AF86" i="3"/>
  <c r="AF73" i="3"/>
  <c r="AF76" i="3"/>
  <c r="AF88" i="3"/>
  <c r="AF84" i="3"/>
  <c r="AF90" i="3"/>
  <c r="AF74" i="3"/>
  <c r="AF79" i="3"/>
  <c r="AF71" i="3"/>
  <c r="AF92" i="3"/>
  <c r="AF72" i="3"/>
  <c r="V101" i="3" l="1"/>
  <c r="V99" i="3"/>
  <c r="V95" i="3"/>
  <c r="V108" i="3"/>
  <c r="V104" i="3"/>
  <c r="V110" i="3"/>
  <c r="V116" i="3"/>
  <c r="V115" i="3"/>
  <c r="V122" i="3"/>
  <c r="V107" i="3"/>
  <c r="V94" i="3"/>
  <c r="V121" i="3"/>
  <c r="V111" i="3"/>
  <c r="V98" i="3"/>
  <c r="V117" i="3"/>
  <c r="V103" i="3"/>
  <c r="V106" i="3"/>
  <c r="V93" i="3"/>
  <c r="V105" i="3"/>
  <c r="V114" i="3"/>
  <c r="V96" i="3"/>
  <c r="V97" i="3"/>
  <c r="V100" i="3"/>
  <c r="V119" i="3"/>
  <c r="V102" i="3"/>
  <c r="V112" i="3"/>
  <c r="V109" i="3"/>
  <c r="V118" i="3"/>
  <c r="V113" i="3"/>
  <c r="V120" i="3"/>
  <c r="AG94" i="3" l="1"/>
  <c r="AQ94" i="3" s="1"/>
  <c r="AG102" i="3"/>
  <c r="AQ102" i="3" s="1"/>
  <c r="AG110" i="3"/>
  <c r="AQ110" i="3" s="1"/>
  <c r="AG118" i="3"/>
  <c r="AQ118" i="3" s="1"/>
  <c r="AG95" i="3"/>
  <c r="AQ95" i="3" s="1"/>
  <c r="AG103" i="3"/>
  <c r="AQ103" i="3" s="1"/>
  <c r="AG111" i="3"/>
  <c r="AQ111" i="3" s="1"/>
  <c r="AG119" i="3"/>
  <c r="AQ119" i="3" s="1"/>
  <c r="AG96" i="3"/>
  <c r="AQ96" i="3" s="1"/>
  <c r="AG104" i="3"/>
  <c r="AQ104" i="3" s="1"/>
  <c r="AG112" i="3"/>
  <c r="AQ112" i="3" s="1"/>
  <c r="AG120" i="3"/>
  <c r="AQ120" i="3" s="1"/>
  <c r="AG97" i="3"/>
  <c r="AQ97" i="3" s="1"/>
  <c r="AG105" i="3"/>
  <c r="AQ105" i="3" s="1"/>
  <c r="AG113" i="3"/>
  <c r="AQ113" i="3" s="1"/>
  <c r="AG121" i="3"/>
  <c r="AQ121" i="3" s="1"/>
  <c r="AG98" i="3"/>
  <c r="AQ98" i="3" s="1"/>
  <c r="AG106" i="3"/>
  <c r="AQ106" i="3" s="1"/>
  <c r="AG114" i="3"/>
  <c r="AQ114" i="3" s="1"/>
  <c r="AG122" i="3"/>
  <c r="AQ122" i="3" s="1"/>
  <c r="AG109" i="3"/>
  <c r="AQ109" i="3" s="1"/>
  <c r="AG99" i="3"/>
  <c r="AQ99" i="3" s="1"/>
  <c r="AG107" i="3"/>
  <c r="AQ107" i="3" s="1"/>
  <c r="AG115" i="3"/>
  <c r="AQ115" i="3" s="1"/>
  <c r="AG101" i="3"/>
  <c r="AQ101" i="3" s="1"/>
  <c r="AG100" i="3"/>
  <c r="AQ100" i="3" s="1"/>
  <c r="AG108" i="3"/>
  <c r="AQ108" i="3" s="1"/>
  <c r="AG116" i="3"/>
  <c r="AQ116" i="3" s="1"/>
  <c r="AG93" i="3"/>
  <c r="AQ93" i="3" s="1"/>
  <c r="AG117" i="3"/>
  <c r="AQ117" i="3" s="1"/>
  <c r="AF115" i="3"/>
  <c r="AF100" i="3"/>
  <c r="AF116" i="3"/>
  <c r="AF103" i="3"/>
  <c r="AF98" i="3"/>
  <c r="AF110" i="3"/>
  <c r="AF106" i="3"/>
  <c r="AF120" i="3"/>
  <c r="AF118" i="3"/>
  <c r="AF111" i="3"/>
  <c r="AF104" i="3"/>
  <c r="AF122" i="3"/>
  <c r="AF97" i="3"/>
  <c r="AF109" i="3"/>
  <c r="AF114" i="3"/>
  <c r="AF121" i="3"/>
  <c r="AF108" i="3"/>
  <c r="AF102" i="3"/>
  <c r="AF119" i="3"/>
  <c r="AF113" i="3"/>
  <c r="AF96" i="3"/>
  <c r="AF105" i="3"/>
  <c r="AF94" i="3"/>
  <c r="AF95" i="3"/>
  <c r="AF101" i="3"/>
  <c r="AF117" i="3"/>
  <c r="AF112" i="3"/>
  <c r="AF93" i="3"/>
  <c r="AF107" i="3"/>
  <c r="AF99" i="3"/>
</calcChain>
</file>

<file path=xl/sharedStrings.xml><?xml version="1.0" encoding="utf-8"?>
<sst xmlns="http://schemas.openxmlformats.org/spreadsheetml/2006/main" count="64" uniqueCount="28">
  <si>
    <t>Total</t>
  </si>
  <si>
    <t>Date</t>
  </si>
  <si>
    <t>Liquidity</t>
  </si>
  <si>
    <t>Asset Classes</t>
  </si>
  <si>
    <t>Bonds_CHF</t>
  </si>
  <si>
    <t>Bonds_IG_HDG</t>
  </si>
  <si>
    <t>Bonds_IG_UHDG</t>
  </si>
  <si>
    <t>Equities_CH</t>
  </si>
  <si>
    <t>Equities_Global_HDG</t>
  </si>
  <si>
    <t>Equities_Global_UHDG</t>
  </si>
  <si>
    <t>Real_Estate_CH_listed</t>
  </si>
  <si>
    <t>Real_Estate_CH_unlisted</t>
  </si>
  <si>
    <t>Month End</t>
  </si>
  <si>
    <t>Last Rebal</t>
  </si>
  <si>
    <t>P1_Rebal</t>
  </si>
  <si>
    <t>P1_Index1</t>
  </si>
  <si>
    <t>P2_Rebal</t>
  </si>
  <si>
    <t>P2_Index1</t>
  </si>
  <si>
    <t>FX-Hedging</t>
  </si>
  <si>
    <t>Start</t>
  </si>
  <si>
    <t>Help1</t>
  </si>
  <si>
    <t>Help2</t>
  </si>
  <si>
    <t>Equities/Bonds Ratio</t>
  </si>
  <si>
    <t>Homebias Equities</t>
  </si>
  <si>
    <t xml:space="preserve">Yield Curve CHF </t>
  </si>
  <si>
    <t>Categories</t>
  </si>
  <si>
    <t>User Input</t>
  </si>
  <si>
    <t>User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</si>
</sst>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\.mm\.yyyy"/>
    <numFmt numFmtId="166" formatCode="0.0%"/>
  </numFmts>
  <fonts count="2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i/>
      <sz val="11"/>
      <color theme="1"/>
      <name val="Arial"/>
      <family val="2"/>
    </font>
    <font>
      <sz val="11"/>
      <color theme="0" tint="-0.34998626667073579"/>
      <name val="Arial"/>
      <family val="2"/>
    </font>
    <font>
      <b/>
      <sz val="11"/>
      <color theme="0" tint="-0.34998626667073579"/>
      <name val="Arial"/>
      <family val="2"/>
    </font>
    <font>
      <sz val="11"/>
      <color rgb="FF00B050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2" borderId="1" xfId="0" applyFont="1" applyFill="1" applyBorder="1"/>
    <xf numFmtId="10" fontId="2" fillId="2" borderId="0" xfId="1" applyNumberFormat="1" applyFont="1" applyFill="1"/>
    <xf numFmtId="0" fontId="0" fillId="2" borderId="0" xfId="0" applyFill="1" applyAlignment="1">
      <alignment horizontal="right"/>
    </xf>
    <xf numFmtId="14" fontId="4" fillId="4" borderId="3" xfId="0" applyNumberFormat="1" applyFont="1" applyFill="1" applyBorder="1" applyAlignment="1">
      <alignment horizontal="right"/>
    </xf>
    <xf numFmtId="0" fontId="5" fillId="4" borderId="3" xfId="0" applyFont="1" applyFill="1" applyBorder="1"/>
    <xf numFmtId="164" fontId="7" fillId="2" borderId="0" xfId="0" applyNumberFormat="1" applyFont="1" applyFill="1" applyBorder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Border="1"/>
    <xf numFmtId="43" fontId="6" fillId="2" borderId="0" xfId="2" applyFont="1" applyFill="1"/>
    <xf numFmtId="43" fontId="7" fillId="2" borderId="0" xfId="2" applyFont="1" applyFill="1"/>
    <xf numFmtId="43" fontId="3" fillId="2" borderId="0" xfId="2" applyFont="1" applyFill="1" applyBorder="1"/>
    <xf numFmtId="0" fontId="10" fillId="2" borderId="0" xfId="0" applyFont="1" applyFill="1"/>
    <xf numFmtId="0" fontId="8" fillId="6" borderId="3" xfId="0" applyFont="1" applyFill="1" applyBorder="1"/>
    <xf numFmtId="0" fontId="8" fillId="7" borderId="3" xfId="0" applyFont="1" applyFill="1" applyBorder="1"/>
    <xf numFmtId="43" fontId="11" fillId="6" borderId="3" xfId="2" applyFont="1" applyFill="1" applyBorder="1"/>
    <xf numFmtId="0" fontId="5" fillId="5" borderId="3" xfId="0" applyFont="1" applyFill="1" applyBorder="1" applyAlignment="1">
      <alignment horizontal="center"/>
    </xf>
    <xf numFmtId="43" fontId="10" fillId="2" borderId="0" xfId="0" applyNumberFormat="1" applyFont="1" applyFill="1"/>
    <xf numFmtId="43" fontId="4" fillId="4" borderId="3" xfId="2" applyFont="1" applyFill="1" applyBorder="1" applyAlignment="1">
      <alignment horizontal="right"/>
    </xf>
    <xf numFmtId="43" fontId="7" fillId="3" borderId="2" xfId="2" applyFont="1" applyFill="1" applyBorder="1" applyAlignment="1">
      <alignment horizontal="right"/>
    </xf>
    <xf numFmtId="43" fontId="7" fillId="2" borderId="0" xfId="2" applyFont="1" applyFill="1" applyBorder="1"/>
    <xf numFmtId="0" fontId="0" fillId="8" borderId="2" xfId="0" applyFill="1" applyBorder="1"/>
    <xf numFmtId="0" fontId="5" fillId="5" borderId="4" xfId="0" applyFont="1" applyFill="1" applyBorder="1" applyAlignment="1">
      <alignment horizontal="center"/>
    </xf>
    <xf numFmtId="43" fontId="7" fillId="2" borderId="6" xfId="2" applyFont="1" applyFill="1" applyBorder="1"/>
    <xf numFmtId="43" fontId="3" fillId="2" borderId="6" xfId="2" applyFont="1" applyFill="1" applyBorder="1"/>
    <xf numFmtId="0" fontId="7" fillId="2" borderId="6" xfId="0" applyFont="1" applyFill="1" applyBorder="1"/>
    <xf numFmtId="0" fontId="11" fillId="7" borderId="4" xfId="0" applyFont="1" applyFill="1" applyBorder="1"/>
    <xf numFmtId="0" fontId="5" fillId="4" borderId="5" xfId="0" applyFont="1" applyFill="1" applyBorder="1"/>
    <xf numFmtId="43" fontId="8" fillId="9" borderId="5" xfId="2" applyFont="1" applyFill="1" applyBorder="1"/>
    <xf numFmtId="43" fontId="8" fillId="9" borderId="3" xfId="2" applyFont="1" applyFill="1" applyBorder="1"/>
    <xf numFmtId="43" fontId="8" fillId="9" borderId="4" xfId="2" applyFont="1" applyFill="1" applyBorder="1"/>
    <xf numFmtId="43" fontId="11" fillId="7" borderId="5" xfId="2" applyFont="1" applyFill="1" applyBorder="1"/>
    <xf numFmtId="43" fontId="12" fillId="2" borderId="6" xfId="2" applyFont="1" applyFill="1" applyBorder="1"/>
    <xf numFmtId="43" fontId="13" fillId="2" borderId="6" xfId="2" applyFont="1" applyFill="1" applyBorder="1"/>
    <xf numFmtId="43" fontId="13" fillId="8" borderId="6" xfId="2" applyFont="1" applyFill="1" applyBorder="1"/>
    <xf numFmtId="0" fontId="15" fillId="2" borderId="0" xfId="0" applyFont="1" applyFill="1"/>
    <xf numFmtId="0" fontId="16" fillId="2" borderId="0" xfId="0" applyFont="1" applyFill="1"/>
    <xf numFmtId="43" fontId="15" fillId="2" borderId="0" xfId="2" applyFont="1" applyFill="1"/>
    <xf numFmtId="43" fontId="16" fillId="2" borderId="0" xfId="0" applyNumberFormat="1" applyFont="1" applyFill="1"/>
    <xf numFmtId="43" fontId="11" fillId="6" borderId="5" xfId="2" applyFont="1" applyFill="1" applyBorder="1"/>
    <xf numFmtId="43" fontId="14" fillId="2" borderId="6" xfId="2" applyFont="1" applyFill="1" applyBorder="1"/>
    <xf numFmtId="43" fontId="12" fillId="8" borderId="6" xfId="2" applyFont="1" applyFill="1" applyBorder="1"/>
    <xf numFmtId="43" fontId="9" fillId="2" borderId="0" xfId="0" applyNumberFormat="1" applyFont="1" applyFill="1"/>
    <xf numFmtId="10" fontId="0" fillId="2" borderId="0" xfId="0" applyNumberFormat="1" applyFill="1"/>
    <xf numFmtId="10" fontId="2" fillId="2" borderId="0" xfId="0" applyNumberFormat="1" applyFont="1" applyFill="1"/>
    <xf numFmtId="0" fontId="18" fillId="2" borderId="0" xfId="0" applyFont="1" applyFill="1"/>
    <xf numFmtId="9" fontId="19" fillId="2" borderId="0" xfId="1" applyNumberFormat="1" applyFont="1" applyFill="1"/>
    <xf numFmtId="10" fontId="20" fillId="2" borderId="0" xfId="0" applyNumberFormat="1" applyFont="1" applyFill="1"/>
    <xf numFmtId="9" fontId="21" fillId="2" borderId="0" xfId="1" applyNumberFormat="1" applyFont="1" applyFill="1"/>
    <xf numFmtId="9" fontId="0" fillId="2" borderId="0" xfId="0" applyNumberFormat="1" applyFill="1"/>
    <xf numFmtId="9" fontId="0" fillId="2" borderId="0" xfId="1" applyFont="1" applyFill="1"/>
    <xf numFmtId="0" fontId="2" fillId="2" borderId="0" xfId="0" applyFont="1" applyFill="1" applyAlignment="1">
      <alignment horizontal="right"/>
    </xf>
    <xf numFmtId="9" fontId="0" fillId="3" borderId="2" xfId="0" applyNumberFormat="1" applyFill="1" applyBorder="1"/>
    <xf numFmtId="164" fontId="10" fillId="2" borderId="0" xfId="0" applyNumberFormat="1" applyFont="1" applyFill="1" applyBorder="1"/>
    <xf numFmtId="43" fontId="10" fillId="3" borderId="2" xfId="2" applyFont="1" applyFill="1" applyBorder="1" applyAlignment="1">
      <alignment horizontal="right"/>
    </xf>
    <xf numFmtId="0" fontId="10" fillId="2" borderId="6" xfId="0" applyFont="1" applyFill="1" applyBorder="1"/>
    <xf numFmtId="0" fontId="7" fillId="10" borderId="0" xfId="0" applyFont="1" applyFill="1"/>
    <xf numFmtId="0" fontId="17" fillId="2" borderId="1" xfId="0" applyFont="1" applyFill="1" applyBorder="1"/>
    <xf numFmtId="10" fontId="1" fillId="8" borderId="2" xfId="1" applyNumberFormat="1" applyFont="1" applyFill="1" applyBorder="1"/>
    <xf numFmtId="10" fontId="1" fillId="11" borderId="2" xfId="1" applyNumberFormat="1" applyFont="1" applyFill="1" applyBorder="1"/>
    <xf numFmtId="166" fontId="0" fillId="2" borderId="0" xfId="1" applyNumberFormat="1" applyFont="1" applyFill="1"/>
    <xf numFmtId="166" fontId="0" fillId="2" borderId="0" xfId="0" applyNumberFormat="1" applyFill="1"/>
  </cellXfs>
  <cellStyles count="3">
    <cellStyle name="Komma" xfId="2" builtinId="3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86183196511341E-2"/>
          <c:y val="9.052210768744326E-2"/>
          <c:w val="0.90264590820228163"/>
          <c:h val="0.83057745687379736"/>
        </c:manualLayout>
      </c:layout>
      <c:lineChart>
        <c:grouping val="standard"/>
        <c:varyColors val="0"/>
        <c:ser>
          <c:idx val="1"/>
          <c:order val="0"/>
          <c:tx>
            <c:v>Reference Portfolio</c:v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Index!$A$2:$A$122</c:f>
              <c:numCache>
                <c:formatCode>dd\.mm\.yyyy</c:formatCode>
                <c:ptCount val="121"/>
                <c:pt idx="0">
                  <c:v>46022</c:v>
                </c:pt>
                <c:pt idx="1">
                  <c:v>46023</c:v>
                </c:pt>
                <c:pt idx="2">
                  <c:v>46024</c:v>
                </c:pt>
                <c:pt idx="3">
                  <c:v>46025</c:v>
                </c:pt>
                <c:pt idx="4">
                  <c:v>46026</c:v>
                </c:pt>
                <c:pt idx="5">
                  <c:v>46027</c:v>
                </c:pt>
                <c:pt idx="6">
                  <c:v>46028</c:v>
                </c:pt>
                <c:pt idx="7">
                  <c:v>46029</c:v>
                </c:pt>
                <c:pt idx="8">
                  <c:v>46030</c:v>
                </c:pt>
                <c:pt idx="9">
                  <c:v>46031</c:v>
                </c:pt>
                <c:pt idx="10">
                  <c:v>46032</c:v>
                </c:pt>
                <c:pt idx="11">
                  <c:v>46033</c:v>
                </c:pt>
                <c:pt idx="12">
                  <c:v>46034</c:v>
                </c:pt>
                <c:pt idx="13">
                  <c:v>46035</c:v>
                </c:pt>
                <c:pt idx="14">
                  <c:v>46036</c:v>
                </c:pt>
                <c:pt idx="15">
                  <c:v>46037</c:v>
                </c:pt>
                <c:pt idx="16">
                  <c:v>46038</c:v>
                </c:pt>
                <c:pt idx="17">
                  <c:v>46039</c:v>
                </c:pt>
                <c:pt idx="18">
                  <c:v>46040</c:v>
                </c:pt>
                <c:pt idx="19">
                  <c:v>46041</c:v>
                </c:pt>
                <c:pt idx="20">
                  <c:v>46042</c:v>
                </c:pt>
                <c:pt idx="21">
                  <c:v>46043</c:v>
                </c:pt>
                <c:pt idx="22">
                  <c:v>46044</c:v>
                </c:pt>
                <c:pt idx="23">
                  <c:v>46045</c:v>
                </c:pt>
                <c:pt idx="24">
                  <c:v>46046</c:v>
                </c:pt>
                <c:pt idx="25">
                  <c:v>46047</c:v>
                </c:pt>
                <c:pt idx="26">
                  <c:v>46048</c:v>
                </c:pt>
                <c:pt idx="27">
                  <c:v>46049</c:v>
                </c:pt>
                <c:pt idx="28">
                  <c:v>46050</c:v>
                </c:pt>
                <c:pt idx="29">
                  <c:v>46051</c:v>
                </c:pt>
                <c:pt idx="30">
                  <c:v>46052</c:v>
                </c:pt>
                <c:pt idx="31">
                  <c:v>46053</c:v>
                </c:pt>
                <c:pt idx="32">
                  <c:v>46054</c:v>
                </c:pt>
                <c:pt idx="33">
                  <c:v>46055</c:v>
                </c:pt>
                <c:pt idx="34">
                  <c:v>46056</c:v>
                </c:pt>
                <c:pt idx="35">
                  <c:v>46057</c:v>
                </c:pt>
                <c:pt idx="36">
                  <c:v>46058</c:v>
                </c:pt>
                <c:pt idx="37">
                  <c:v>46059</c:v>
                </c:pt>
                <c:pt idx="38">
                  <c:v>46060</c:v>
                </c:pt>
                <c:pt idx="39">
                  <c:v>46061</c:v>
                </c:pt>
                <c:pt idx="40">
                  <c:v>46062</c:v>
                </c:pt>
                <c:pt idx="41">
                  <c:v>46063</c:v>
                </c:pt>
                <c:pt idx="42">
                  <c:v>46064</c:v>
                </c:pt>
                <c:pt idx="43">
                  <c:v>46065</c:v>
                </c:pt>
                <c:pt idx="44">
                  <c:v>46066</c:v>
                </c:pt>
                <c:pt idx="45">
                  <c:v>46067</c:v>
                </c:pt>
                <c:pt idx="46">
                  <c:v>46068</c:v>
                </c:pt>
                <c:pt idx="47">
                  <c:v>46069</c:v>
                </c:pt>
                <c:pt idx="48">
                  <c:v>46070</c:v>
                </c:pt>
                <c:pt idx="49">
                  <c:v>46071</c:v>
                </c:pt>
                <c:pt idx="50">
                  <c:v>46072</c:v>
                </c:pt>
                <c:pt idx="51">
                  <c:v>46073</c:v>
                </c:pt>
                <c:pt idx="52">
                  <c:v>46074</c:v>
                </c:pt>
                <c:pt idx="53">
                  <c:v>46075</c:v>
                </c:pt>
                <c:pt idx="54">
                  <c:v>46076</c:v>
                </c:pt>
                <c:pt idx="55">
                  <c:v>46077</c:v>
                </c:pt>
                <c:pt idx="56">
                  <c:v>46078</c:v>
                </c:pt>
                <c:pt idx="57">
                  <c:v>46079</c:v>
                </c:pt>
                <c:pt idx="58">
                  <c:v>46080</c:v>
                </c:pt>
                <c:pt idx="59">
                  <c:v>46081</c:v>
                </c:pt>
                <c:pt idx="60">
                  <c:v>46082</c:v>
                </c:pt>
                <c:pt idx="61">
                  <c:v>46083</c:v>
                </c:pt>
                <c:pt idx="62">
                  <c:v>46084</c:v>
                </c:pt>
                <c:pt idx="63">
                  <c:v>46085</c:v>
                </c:pt>
                <c:pt idx="64">
                  <c:v>46086</c:v>
                </c:pt>
                <c:pt idx="65">
                  <c:v>46087</c:v>
                </c:pt>
                <c:pt idx="66">
                  <c:v>46088</c:v>
                </c:pt>
                <c:pt idx="67">
                  <c:v>46089</c:v>
                </c:pt>
                <c:pt idx="68">
                  <c:v>46090</c:v>
                </c:pt>
                <c:pt idx="69">
                  <c:v>46091</c:v>
                </c:pt>
                <c:pt idx="70">
                  <c:v>46092</c:v>
                </c:pt>
                <c:pt idx="71">
                  <c:v>46093</c:v>
                </c:pt>
                <c:pt idx="72">
                  <c:v>46094</c:v>
                </c:pt>
                <c:pt idx="73">
                  <c:v>46095</c:v>
                </c:pt>
                <c:pt idx="74">
                  <c:v>46096</c:v>
                </c:pt>
                <c:pt idx="75">
                  <c:v>46097</c:v>
                </c:pt>
                <c:pt idx="76">
                  <c:v>46098</c:v>
                </c:pt>
                <c:pt idx="77">
                  <c:v>46099</c:v>
                </c:pt>
                <c:pt idx="78">
                  <c:v>46100</c:v>
                </c:pt>
                <c:pt idx="79">
                  <c:v>46101</c:v>
                </c:pt>
                <c:pt idx="80">
                  <c:v>46102</c:v>
                </c:pt>
                <c:pt idx="81">
                  <c:v>46103</c:v>
                </c:pt>
                <c:pt idx="82">
                  <c:v>46104</c:v>
                </c:pt>
                <c:pt idx="83">
                  <c:v>46105</c:v>
                </c:pt>
                <c:pt idx="84">
                  <c:v>46106</c:v>
                </c:pt>
                <c:pt idx="85">
                  <c:v>46107</c:v>
                </c:pt>
                <c:pt idx="86">
                  <c:v>46108</c:v>
                </c:pt>
                <c:pt idx="87">
                  <c:v>46109</c:v>
                </c:pt>
                <c:pt idx="88">
                  <c:v>46110</c:v>
                </c:pt>
                <c:pt idx="89">
                  <c:v>46111</c:v>
                </c:pt>
                <c:pt idx="90">
                  <c:v>46112</c:v>
                </c:pt>
                <c:pt idx="91">
                  <c:v>46113</c:v>
                </c:pt>
                <c:pt idx="92">
                  <c:v>46114</c:v>
                </c:pt>
                <c:pt idx="93">
                  <c:v>46115</c:v>
                </c:pt>
                <c:pt idx="94">
                  <c:v>46116</c:v>
                </c:pt>
                <c:pt idx="95">
                  <c:v>46117</c:v>
                </c:pt>
                <c:pt idx="96">
                  <c:v>46118</c:v>
                </c:pt>
                <c:pt idx="97">
                  <c:v>46119</c:v>
                </c:pt>
                <c:pt idx="98">
                  <c:v>46120</c:v>
                </c:pt>
                <c:pt idx="99">
                  <c:v>46121</c:v>
                </c:pt>
                <c:pt idx="100">
                  <c:v>46122</c:v>
                </c:pt>
                <c:pt idx="101">
                  <c:v>46123</c:v>
                </c:pt>
                <c:pt idx="102">
                  <c:v>46124</c:v>
                </c:pt>
                <c:pt idx="103">
                  <c:v>46125</c:v>
                </c:pt>
                <c:pt idx="104">
                  <c:v>46126</c:v>
                </c:pt>
                <c:pt idx="105">
                  <c:v>46127</c:v>
                </c:pt>
                <c:pt idx="106">
                  <c:v>46128</c:v>
                </c:pt>
                <c:pt idx="107">
                  <c:v>46129</c:v>
                </c:pt>
                <c:pt idx="108">
                  <c:v>46130</c:v>
                </c:pt>
                <c:pt idx="109">
                  <c:v>46131</c:v>
                </c:pt>
                <c:pt idx="110">
                  <c:v>46132</c:v>
                </c:pt>
                <c:pt idx="111">
                  <c:v>46133</c:v>
                </c:pt>
                <c:pt idx="112">
                  <c:v>46134</c:v>
                </c:pt>
                <c:pt idx="113">
                  <c:v>46135</c:v>
                </c:pt>
                <c:pt idx="114">
                  <c:v>46136</c:v>
                </c:pt>
                <c:pt idx="115">
                  <c:v>46137</c:v>
                </c:pt>
                <c:pt idx="116">
                  <c:v>46138</c:v>
                </c:pt>
                <c:pt idx="117">
                  <c:v>46139</c:v>
                </c:pt>
                <c:pt idx="118">
                  <c:v>46140</c:v>
                </c:pt>
                <c:pt idx="119">
                  <c:v>46141</c:v>
                </c:pt>
                <c:pt idx="120">
                  <c:v>46142</c:v>
                </c:pt>
              </c:numCache>
            </c:numRef>
          </c:cat>
          <c:val>
            <c:numRef>
              <c:f>Index!$AF$2:$AF$122</c:f>
              <c:numCache>
                <c:formatCode>_(* #,##0.00_);_(* \(#,##0.00\);_(* "-"??_);_(@_)</c:formatCode>
                <c:ptCount val="121"/>
                <c:pt idx="0">
                  <c:v>100</c:v>
                </c:pt>
                <c:pt idx="1">
                  <c:v>99.997383358602605</c:v>
                </c:pt>
                <c:pt idx="2">
                  <c:v>100.03975503697831</c:v>
                </c:pt>
                <c:pt idx="3">
                  <c:v>100.03975503697831</c:v>
                </c:pt>
                <c:pt idx="4">
                  <c:v>100.03975503697831</c:v>
                </c:pt>
                <c:pt idx="5">
                  <c:v>100.34396858492012</c:v>
                </c:pt>
                <c:pt idx="6">
                  <c:v>100.60896474376726</c:v>
                </c:pt>
                <c:pt idx="7">
                  <c:v>100.56621272472661</c:v>
                </c:pt>
                <c:pt idx="8">
                  <c:v>100.53576842618173</c:v>
                </c:pt>
                <c:pt idx="9">
                  <c:v>100.79958982308041</c:v>
                </c:pt>
                <c:pt idx="10">
                  <c:v>100.79958982308041</c:v>
                </c:pt>
                <c:pt idx="11">
                  <c:v>100.79958982308041</c:v>
                </c:pt>
                <c:pt idx="12">
                  <c:v>100.85477933646321</c:v>
                </c:pt>
                <c:pt idx="13">
                  <c:v>100.80354241767542</c:v>
                </c:pt>
                <c:pt idx="14">
                  <c:v>100.85577196555957</c:v>
                </c:pt>
                <c:pt idx="15">
                  <c:v>101.01322788257852</c:v>
                </c:pt>
                <c:pt idx="16">
                  <c:v>100.92250463622294</c:v>
                </c:pt>
                <c:pt idx="17">
                  <c:v>100.92250463622294</c:v>
                </c:pt>
                <c:pt idx="18">
                  <c:v>100.92250463622294</c:v>
                </c:pt>
                <c:pt idx="19">
                  <c:v>100.66976801399008</c:v>
                </c:pt>
                <c:pt idx="20">
                  <c:v>100.03201415013723</c:v>
                </c:pt>
                <c:pt idx="21">
                  <c:v>100.26133994272826</c:v>
                </c:pt>
                <c:pt idx="22">
                  <c:v>100.48143020316999</c:v>
                </c:pt>
                <c:pt idx="23">
                  <c:v>100.39571426422245</c:v>
                </c:pt>
                <c:pt idx="24">
                  <c:v>100.39571426422245</c:v>
                </c:pt>
                <c:pt idx="25">
                  <c:v>100.39571426422245</c:v>
                </c:pt>
                <c:pt idx="26">
                  <c:v>100.36523431879529</c:v>
                </c:pt>
                <c:pt idx="27">
                  <c:v>100.52508951790958</c:v>
                </c:pt>
                <c:pt idx="28">
                  <c:v>100.35446904116667</c:v>
                </c:pt>
                <c:pt idx="29">
                  <c:v>100.44684139267419</c:v>
                </c:pt>
                <c:pt idx="30">
                  <c:v>100.41400474635765</c:v>
                </c:pt>
                <c:pt idx="31">
                  <c:v>100.48848785923808</c:v>
                </c:pt>
                <c:pt idx="32">
                  <c:v>100.48848785923808</c:v>
                </c:pt>
                <c:pt idx="33">
                  <c:v>100.83844432442996</c:v>
                </c:pt>
                <c:pt idx="34">
                  <c:v>100.59384712094104</c:v>
                </c:pt>
                <c:pt idx="35">
                  <c:v>100.68392985925117</c:v>
                </c:pt>
                <c:pt idx="36">
                  <c:v>100.4166093193478</c:v>
                </c:pt>
                <c:pt idx="37">
                  <c:v>100.87004085734722</c:v>
                </c:pt>
                <c:pt idx="38">
                  <c:v>100.87004085734722</c:v>
                </c:pt>
                <c:pt idx="39">
                  <c:v>100.87004085734722</c:v>
                </c:pt>
                <c:pt idx="40">
                  <c:v>100.87897813993287</c:v>
                </c:pt>
                <c:pt idx="41">
                  <c:v>101.00492392656496</c:v>
                </c:pt>
                <c:pt idx="42">
                  <c:v>101.05335633201175</c:v>
                </c:pt>
                <c:pt idx="43">
                  <c:v>100.74225038367885</c:v>
                </c:pt>
                <c:pt idx="44">
                  <c:v>100.86042653906776</c:v>
                </c:pt>
                <c:pt idx="45">
                  <c:v>100.86042653906776</c:v>
                </c:pt>
                <c:pt idx="46">
                  <c:v>100.86042653906776</c:v>
                </c:pt>
                <c:pt idx="47">
                  <c:v>100.90744197405704</c:v>
                </c:pt>
                <c:pt idx="48">
                  <c:v>101.10742622171509</c:v>
                </c:pt>
                <c:pt idx="49">
                  <c:v>101.31569777822486</c:v>
                </c:pt>
                <c:pt idx="50">
                  <c:v>101.24086673134562</c:v>
                </c:pt>
                <c:pt idx="51">
                  <c:v>101.42944500944942</c:v>
                </c:pt>
                <c:pt idx="52">
                  <c:v>101.42944500944942</c:v>
                </c:pt>
                <c:pt idx="53">
                  <c:v>101.42944500944942</c:v>
                </c:pt>
                <c:pt idx="54">
                  <c:v>101.22704436704385</c:v>
                </c:pt>
                <c:pt idx="55">
                  <c:v>101.50015086756098</c:v>
                </c:pt>
                <c:pt idx="56">
                  <c:v>101.69913590795053</c:v>
                </c:pt>
                <c:pt idx="57">
                  <c:v>101.61680574027795</c:v>
                </c:pt>
                <c:pt idx="58">
                  <c:v>101.62217266856703</c:v>
                </c:pt>
                <c:pt idx="59">
                  <c:v>101.68586092429716</c:v>
                </c:pt>
                <c:pt idx="60">
                  <c:v>101.68586092429716</c:v>
                </c:pt>
                <c:pt idx="61">
                  <c:v>101.4490187712283</c:v>
                </c:pt>
                <c:pt idx="62">
                  <c:v>100.59425058997924</c:v>
                </c:pt>
                <c:pt idx="63">
                  <c:v>100.78368558326196</c:v>
                </c:pt>
                <c:pt idx="64">
                  <c:v>100.38399017664953</c:v>
                </c:pt>
                <c:pt idx="65">
                  <c:v>99.824714842296714</c:v>
                </c:pt>
                <c:pt idx="66">
                  <c:v>99.824714842296714</c:v>
                </c:pt>
                <c:pt idx="67">
                  <c:v>99.824714842296714</c:v>
                </c:pt>
                <c:pt idx="68">
                  <c:v>99.732924293411543</c:v>
                </c:pt>
                <c:pt idx="69">
                  <c:v>99.943310354232423</c:v>
                </c:pt>
                <c:pt idx="70">
                  <c:v>99.742295403378819</c:v>
                </c:pt>
                <c:pt idx="71">
                  <c:v>99.387847838766305</c:v>
                </c:pt>
                <c:pt idx="72">
                  <c:v>99.229617273070758</c:v>
                </c:pt>
                <c:pt idx="73">
                  <c:v>99.229617273070758</c:v>
                </c:pt>
                <c:pt idx="74">
                  <c:v>99.229617273070758</c:v>
                </c:pt>
                <c:pt idx="75">
                  <c:v>99.518997202303439</c:v>
                </c:pt>
                <c:pt idx="76">
                  <c:v>99.71950772885549</c:v>
                </c:pt>
                <c:pt idx="77">
                  <c:v>99.275431772075336</c:v>
                </c:pt>
                <c:pt idx="78">
                  <c:v>98.814479230809582</c:v>
                </c:pt>
                <c:pt idx="79">
                  <c:v>98.193051718717228</c:v>
                </c:pt>
                <c:pt idx="80">
                  <c:v>98.193051718717228</c:v>
                </c:pt>
                <c:pt idx="81">
                  <c:v>98.193051718717228</c:v>
                </c:pt>
                <c:pt idx="82">
                  <c:v>98.48782850891665</c:v>
                </c:pt>
                <c:pt idx="83">
                  <c:v>98.548732013921452</c:v>
                </c:pt>
                <c:pt idx="84">
                  <c:v>99.073089668297442</c:v>
                </c:pt>
                <c:pt idx="85">
                  <c:v>98.517595549661763</c:v>
                </c:pt>
                <c:pt idx="86">
                  <c:v>98.086127735110395</c:v>
                </c:pt>
                <c:pt idx="87">
                  <c:v>98.086127735110395</c:v>
                </c:pt>
                <c:pt idx="88">
                  <c:v>98.086127735110395</c:v>
                </c:pt>
                <c:pt idx="89">
                  <c:v>98.189862013510776</c:v>
                </c:pt>
                <c:pt idx="90">
                  <c:v>99.045220753728984</c:v>
                </c:pt>
                <c:pt idx="91">
                  <c:v>99.503957088107072</c:v>
                </c:pt>
                <c:pt idx="92">
                  <c:v>99.486915986957186</c:v>
                </c:pt>
                <c:pt idx="93">
                  <c:v>99.493167025694959</c:v>
                </c:pt>
                <c:pt idx="94">
                  <c:v>99.493167025694959</c:v>
                </c:pt>
                <c:pt idx="95">
                  <c:v>99.493167025694959</c:v>
                </c:pt>
                <c:pt idx="96">
                  <c:v>99.561346327167442</c:v>
                </c:pt>
                <c:pt idx="97">
                  <c:v>99.29538209886168</c:v>
                </c:pt>
                <c:pt idx="98">
                  <c:v>100.36064809670134</c:v>
                </c:pt>
                <c:pt idx="99">
                  <c:v>100.43265928745573</c:v>
                </c:pt>
                <c:pt idx="100">
                  <c:v>100.46878839603387</c:v>
                </c:pt>
                <c:pt idx="101">
                  <c:v>100.46878839603387</c:v>
                </c:pt>
                <c:pt idx="102">
                  <c:v>100.46878839603387</c:v>
                </c:pt>
                <c:pt idx="103">
                  <c:v>100.58432114627284</c:v>
                </c:pt>
                <c:pt idx="104">
                  <c:v>101.00831808161986</c:v>
                </c:pt>
                <c:pt idx="105">
                  <c:v>101.13083117237153</c:v>
                </c:pt>
                <c:pt idx="106">
                  <c:v>101.1603672071596</c:v>
                </c:pt>
                <c:pt idx="107">
                  <c:v>101.70837718464625</c:v>
                </c:pt>
                <c:pt idx="108">
                  <c:v>101.70837718464625</c:v>
                </c:pt>
                <c:pt idx="109">
                  <c:v>101.70837718464625</c:v>
                </c:pt>
                <c:pt idx="110">
                  <c:v>101.55274597091808</c:v>
                </c:pt>
                <c:pt idx="111">
                  <c:v>101.2463301474525</c:v>
                </c:pt>
                <c:pt idx="112">
                  <c:v>101.36261338959719</c:v>
                </c:pt>
                <c:pt idx="113">
                  <c:v>101.40365160515645</c:v>
                </c:pt>
                <c:pt idx="114">
                  <c:v>101.44346051736248</c:v>
                </c:pt>
                <c:pt idx="115">
                  <c:v>101.44346051736248</c:v>
                </c:pt>
                <c:pt idx="116">
                  <c:v>101.44346051736248</c:v>
                </c:pt>
                <c:pt idx="117">
                  <c:v>101.43096856671409</c:v>
                </c:pt>
                <c:pt idx="118">
                  <c:v>101.32248302940592</c:v>
                </c:pt>
                <c:pt idx="119">
                  <c:v>101.13792133390587</c:v>
                </c:pt>
                <c:pt idx="120">
                  <c:v>101.54266993846879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C-49A0-B22A-49075B48FC43}"/>
            </c:ext>
          </c:extLst>
        </c:ser>
        <c:ser>
          <c:idx val="0"/>
          <c:order val="1"/>
          <c:tx>
            <c:v>User Portfolio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Index!$A$2:$A$122</c:f>
              <c:numCache>
                <c:formatCode>dd\.mm\.yyyy</c:formatCode>
                <c:ptCount val="121"/>
                <c:pt idx="0">
                  <c:v>46022</c:v>
                </c:pt>
                <c:pt idx="1">
                  <c:v>46023</c:v>
                </c:pt>
                <c:pt idx="2">
                  <c:v>46024</c:v>
                </c:pt>
                <c:pt idx="3">
                  <c:v>46025</c:v>
                </c:pt>
                <c:pt idx="4">
                  <c:v>46026</c:v>
                </c:pt>
                <c:pt idx="5">
                  <c:v>46027</c:v>
                </c:pt>
                <c:pt idx="6">
                  <c:v>46028</c:v>
                </c:pt>
                <c:pt idx="7">
                  <c:v>46029</c:v>
                </c:pt>
                <c:pt idx="8">
                  <c:v>46030</c:v>
                </c:pt>
                <c:pt idx="9">
                  <c:v>46031</c:v>
                </c:pt>
                <c:pt idx="10">
                  <c:v>46032</c:v>
                </c:pt>
                <c:pt idx="11">
                  <c:v>46033</c:v>
                </c:pt>
                <c:pt idx="12">
                  <c:v>46034</c:v>
                </c:pt>
                <c:pt idx="13">
                  <c:v>46035</c:v>
                </c:pt>
                <c:pt idx="14">
                  <c:v>46036</c:v>
                </c:pt>
                <c:pt idx="15">
                  <c:v>46037</c:v>
                </c:pt>
                <c:pt idx="16">
                  <c:v>46038</c:v>
                </c:pt>
                <c:pt idx="17">
                  <c:v>46039</c:v>
                </c:pt>
                <c:pt idx="18">
                  <c:v>46040</c:v>
                </c:pt>
                <c:pt idx="19">
                  <c:v>46041</c:v>
                </c:pt>
                <c:pt idx="20">
                  <c:v>46042</c:v>
                </c:pt>
                <c:pt idx="21">
                  <c:v>46043</c:v>
                </c:pt>
                <c:pt idx="22">
                  <c:v>46044</c:v>
                </c:pt>
                <c:pt idx="23">
                  <c:v>46045</c:v>
                </c:pt>
                <c:pt idx="24">
                  <c:v>46046</c:v>
                </c:pt>
                <c:pt idx="25">
                  <c:v>46047</c:v>
                </c:pt>
                <c:pt idx="26">
                  <c:v>46048</c:v>
                </c:pt>
                <c:pt idx="27">
                  <c:v>46049</c:v>
                </c:pt>
                <c:pt idx="28">
                  <c:v>46050</c:v>
                </c:pt>
                <c:pt idx="29">
                  <c:v>46051</c:v>
                </c:pt>
                <c:pt idx="30">
                  <c:v>46052</c:v>
                </c:pt>
                <c:pt idx="31">
                  <c:v>46053</c:v>
                </c:pt>
                <c:pt idx="32">
                  <c:v>46054</c:v>
                </c:pt>
                <c:pt idx="33">
                  <c:v>46055</c:v>
                </c:pt>
                <c:pt idx="34">
                  <c:v>46056</c:v>
                </c:pt>
                <c:pt idx="35">
                  <c:v>46057</c:v>
                </c:pt>
                <c:pt idx="36">
                  <c:v>46058</c:v>
                </c:pt>
                <c:pt idx="37">
                  <c:v>46059</c:v>
                </c:pt>
                <c:pt idx="38">
                  <c:v>46060</c:v>
                </c:pt>
                <c:pt idx="39">
                  <c:v>46061</c:v>
                </c:pt>
                <c:pt idx="40">
                  <c:v>46062</c:v>
                </c:pt>
                <c:pt idx="41">
                  <c:v>46063</c:v>
                </c:pt>
                <c:pt idx="42">
                  <c:v>46064</c:v>
                </c:pt>
                <c:pt idx="43">
                  <c:v>46065</c:v>
                </c:pt>
                <c:pt idx="44">
                  <c:v>46066</c:v>
                </c:pt>
                <c:pt idx="45">
                  <c:v>46067</c:v>
                </c:pt>
                <c:pt idx="46">
                  <c:v>46068</c:v>
                </c:pt>
                <c:pt idx="47">
                  <c:v>46069</c:v>
                </c:pt>
                <c:pt idx="48">
                  <c:v>46070</c:v>
                </c:pt>
                <c:pt idx="49">
                  <c:v>46071</c:v>
                </c:pt>
                <c:pt idx="50">
                  <c:v>46072</c:v>
                </c:pt>
                <c:pt idx="51">
                  <c:v>46073</c:v>
                </c:pt>
                <c:pt idx="52">
                  <c:v>46074</c:v>
                </c:pt>
                <c:pt idx="53">
                  <c:v>46075</c:v>
                </c:pt>
                <c:pt idx="54">
                  <c:v>46076</c:v>
                </c:pt>
                <c:pt idx="55">
                  <c:v>46077</c:v>
                </c:pt>
                <c:pt idx="56">
                  <c:v>46078</c:v>
                </c:pt>
                <c:pt idx="57">
                  <c:v>46079</c:v>
                </c:pt>
                <c:pt idx="58">
                  <c:v>46080</c:v>
                </c:pt>
                <c:pt idx="59">
                  <c:v>46081</c:v>
                </c:pt>
                <c:pt idx="60">
                  <c:v>46082</c:v>
                </c:pt>
                <c:pt idx="61">
                  <c:v>46083</c:v>
                </c:pt>
                <c:pt idx="62">
                  <c:v>46084</c:v>
                </c:pt>
                <c:pt idx="63">
                  <c:v>46085</c:v>
                </c:pt>
                <c:pt idx="64">
                  <c:v>46086</c:v>
                </c:pt>
                <c:pt idx="65">
                  <c:v>46087</c:v>
                </c:pt>
                <c:pt idx="66">
                  <c:v>46088</c:v>
                </c:pt>
                <c:pt idx="67">
                  <c:v>46089</c:v>
                </c:pt>
                <c:pt idx="68">
                  <c:v>46090</c:v>
                </c:pt>
                <c:pt idx="69">
                  <c:v>46091</c:v>
                </c:pt>
                <c:pt idx="70">
                  <c:v>46092</c:v>
                </c:pt>
                <c:pt idx="71">
                  <c:v>46093</c:v>
                </c:pt>
                <c:pt idx="72">
                  <c:v>46094</c:v>
                </c:pt>
                <c:pt idx="73">
                  <c:v>46095</c:v>
                </c:pt>
                <c:pt idx="74">
                  <c:v>46096</c:v>
                </c:pt>
                <c:pt idx="75">
                  <c:v>46097</c:v>
                </c:pt>
                <c:pt idx="76">
                  <c:v>46098</c:v>
                </c:pt>
                <c:pt idx="77">
                  <c:v>46099</c:v>
                </c:pt>
                <c:pt idx="78">
                  <c:v>46100</c:v>
                </c:pt>
                <c:pt idx="79">
                  <c:v>46101</c:v>
                </c:pt>
                <c:pt idx="80">
                  <c:v>46102</c:v>
                </c:pt>
                <c:pt idx="81">
                  <c:v>46103</c:v>
                </c:pt>
                <c:pt idx="82">
                  <c:v>46104</c:v>
                </c:pt>
                <c:pt idx="83">
                  <c:v>46105</c:v>
                </c:pt>
                <c:pt idx="84">
                  <c:v>46106</c:v>
                </c:pt>
                <c:pt idx="85">
                  <c:v>46107</c:v>
                </c:pt>
                <c:pt idx="86">
                  <c:v>46108</c:v>
                </c:pt>
                <c:pt idx="87">
                  <c:v>46109</c:v>
                </c:pt>
                <c:pt idx="88">
                  <c:v>46110</c:v>
                </c:pt>
                <c:pt idx="89">
                  <c:v>46111</c:v>
                </c:pt>
                <c:pt idx="90">
                  <c:v>46112</c:v>
                </c:pt>
                <c:pt idx="91">
                  <c:v>46113</c:v>
                </c:pt>
                <c:pt idx="92">
                  <c:v>46114</c:v>
                </c:pt>
                <c:pt idx="93">
                  <c:v>46115</c:v>
                </c:pt>
                <c:pt idx="94">
                  <c:v>46116</c:v>
                </c:pt>
                <c:pt idx="95">
                  <c:v>46117</c:v>
                </c:pt>
                <c:pt idx="96">
                  <c:v>46118</c:v>
                </c:pt>
                <c:pt idx="97">
                  <c:v>46119</c:v>
                </c:pt>
                <c:pt idx="98">
                  <c:v>46120</c:v>
                </c:pt>
                <c:pt idx="99">
                  <c:v>46121</c:v>
                </c:pt>
                <c:pt idx="100">
                  <c:v>46122</c:v>
                </c:pt>
                <c:pt idx="101">
                  <c:v>46123</c:v>
                </c:pt>
                <c:pt idx="102">
                  <c:v>46124</c:v>
                </c:pt>
                <c:pt idx="103">
                  <c:v>46125</c:v>
                </c:pt>
                <c:pt idx="104">
                  <c:v>46126</c:v>
                </c:pt>
                <c:pt idx="105">
                  <c:v>46127</c:v>
                </c:pt>
                <c:pt idx="106">
                  <c:v>46128</c:v>
                </c:pt>
                <c:pt idx="107">
                  <c:v>46129</c:v>
                </c:pt>
                <c:pt idx="108">
                  <c:v>46130</c:v>
                </c:pt>
                <c:pt idx="109">
                  <c:v>46131</c:v>
                </c:pt>
                <c:pt idx="110">
                  <c:v>46132</c:v>
                </c:pt>
                <c:pt idx="111">
                  <c:v>46133</c:v>
                </c:pt>
                <c:pt idx="112">
                  <c:v>46134</c:v>
                </c:pt>
                <c:pt idx="113">
                  <c:v>46135</c:v>
                </c:pt>
                <c:pt idx="114">
                  <c:v>46136</c:v>
                </c:pt>
                <c:pt idx="115">
                  <c:v>46137</c:v>
                </c:pt>
                <c:pt idx="116">
                  <c:v>46138</c:v>
                </c:pt>
                <c:pt idx="117">
                  <c:v>46139</c:v>
                </c:pt>
                <c:pt idx="118">
                  <c:v>46140</c:v>
                </c:pt>
                <c:pt idx="119">
                  <c:v>46141</c:v>
                </c:pt>
                <c:pt idx="120">
                  <c:v>46142</c:v>
                </c:pt>
              </c:numCache>
            </c:numRef>
          </c:cat>
          <c:val>
            <c:numRef>
              <c:f>Index!$AQ$2:$AQ$122</c:f>
              <c:numCache>
                <c:formatCode>_(* #,##0.00_);_(* \(#,##0.00\);_(* "-"??_);_(@_)</c:formatCode>
                <c:ptCount val="121"/>
                <c:pt idx="0">
                  <c:v>100</c:v>
                </c:pt>
                <c:pt idx="1">
                  <c:v>100.00096774193548</c:v>
                </c:pt>
                <c:pt idx="2">
                  <c:v>99.950742590237368</c:v>
                </c:pt>
                <c:pt idx="3">
                  <c:v>99.950742590237368</c:v>
                </c:pt>
                <c:pt idx="4">
                  <c:v>99.950742590237368</c:v>
                </c:pt>
                <c:pt idx="5">
                  <c:v>100.31524514223777</c:v>
                </c:pt>
                <c:pt idx="6">
                  <c:v>100.71828307137064</c:v>
                </c:pt>
                <c:pt idx="7">
                  <c:v>100.80156406268468</c:v>
                </c:pt>
                <c:pt idx="8">
                  <c:v>100.87638945966995</c:v>
                </c:pt>
                <c:pt idx="9">
                  <c:v>101.29587675876807</c:v>
                </c:pt>
                <c:pt idx="10">
                  <c:v>101.29587675876807</c:v>
                </c:pt>
                <c:pt idx="11">
                  <c:v>101.29587675876807</c:v>
                </c:pt>
                <c:pt idx="12">
                  <c:v>101.1188337048407</c:v>
                </c:pt>
                <c:pt idx="13">
                  <c:v>101.10017459856984</c:v>
                </c:pt>
                <c:pt idx="14">
                  <c:v>101.27601411836731</c:v>
                </c:pt>
                <c:pt idx="15">
                  <c:v>101.61961179254489</c:v>
                </c:pt>
                <c:pt idx="16">
                  <c:v>101.43131979148841</c:v>
                </c:pt>
                <c:pt idx="17">
                  <c:v>101.43131979148841</c:v>
                </c:pt>
                <c:pt idx="18">
                  <c:v>101.43131979148841</c:v>
                </c:pt>
                <c:pt idx="19">
                  <c:v>100.78618185838131</c:v>
                </c:pt>
                <c:pt idx="20">
                  <c:v>99.860420749832755</c:v>
                </c:pt>
                <c:pt idx="21">
                  <c:v>100.23081486721075</c:v>
                </c:pt>
                <c:pt idx="22">
                  <c:v>100.4346840769098</c:v>
                </c:pt>
                <c:pt idx="23">
                  <c:v>100.23348575152555</c:v>
                </c:pt>
                <c:pt idx="24">
                  <c:v>100.23348575152555</c:v>
                </c:pt>
                <c:pt idx="25">
                  <c:v>100.23348575152555</c:v>
                </c:pt>
                <c:pt idx="26">
                  <c:v>99.690727747306767</c:v>
                </c:pt>
                <c:pt idx="27">
                  <c:v>99.713162161869136</c:v>
                </c:pt>
                <c:pt idx="28">
                  <c:v>99.315070778683705</c:v>
                </c:pt>
                <c:pt idx="29">
                  <c:v>99.452971267313373</c:v>
                </c:pt>
                <c:pt idx="30">
                  <c:v>99.534292796202053</c:v>
                </c:pt>
                <c:pt idx="31">
                  <c:v>99.608775909082496</c:v>
                </c:pt>
                <c:pt idx="32">
                  <c:v>99.608775909082496</c:v>
                </c:pt>
                <c:pt idx="33">
                  <c:v>100.61874831443872</c:v>
                </c:pt>
                <c:pt idx="34">
                  <c:v>100.13279298737369</c:v>
                </c:pt>
                <c:pt idx="35">
                  <c:v>100.46251619611748</c:v>
                </c:pt>
                <c:pt idx="36">
                  <c:v>100.18614480967469</c:v>
                </c:pt>
                <c:pt idx="37">
                  <c:v>100.56198699464045</c:v>
                </c:pt>
                <c:pt idx="38">
                  <c:v>100.56198699464045</c:v>
                </c:pt>
                <c:pt idx="39">
                  <c:v>100.56198699464045</c:v>
                </c:pt>
                <c:pt idx="40">
                  <c:v>100.45146771633173</c:v>
                </c:pt>
                <c:pt idx="41">
                  <c:v>100.46165997213866</c:v>
                </c:pt>
                <c:pt idx="42">
                  <c:v>100.79054459470294</c:v>
                </c:pt>
                <c:pt idx="43">
                  <c:v>100.36538906358645</c:v>
                </c:pt>
                <c:pt idx="44">
                  <c:v>100.6228477545193</c:v>
                </c:pt>
                <c:pt idx="45">
                  <c:v>100.6228477545193</c:v>
                </c:pt>
                <c:pt idx="46">
                  <c:v>100.6228477545193</c:v>
                </c:pt>
                <c:pt idx="47">
                  <c:v>100.67919524498127</c:v>
                </c:pt>
                <c:pt idx="48">
                  <c:v>101.13806276360897</c:v>
                </c:pt>
                <c:pt idx="49">
                  <c:v>101.29233516364116</c:v>
                </c:pt>
                <c:pt idx="50">
                  <c:v>101.38499389386766</c:v>
                </c:pt>
                <c:pt idx="51">
                  <c:v>101.61705602152462</c:v>
                </c:pt>
                <c:pt idx="52">
                  <c:v>101.61705602152462</c:v>
                </c:pt>
                <c:pt idx="53">
                  <c:v>101.61705602152462</c:v>
                </c:pt>
                <c:pt idx="54">
                  <c:v>101.37561398316426</c:v>
                </c:pt>
                <c:pt idx="55">
                  <c:v>101.76018569564633</c:v>
                </c:pt>
                <c:pt idx="56">
                  <c:v>101.90474278243641</c:v>
                </c:pt>
                <c:pt idx="57">
                  <c:v>101.78280801146668</c:v>
                </c:pt>
                <c:pt idx="58">
                  <c:v>101.71252545182341</c:v>
                </c:pt>
                <c:pt idx="59">
                  <c:v>101.77565615791927</c:v>
                </c:pt>
                <c:pt idx="60">
                  <c:v>101.77565615791927</c:v>
                </c:pt>
                <c:pt idx="61">
                  <c:v>101.72601556666218</c:v>
                </c:pt>
                <c:pt idx="62">
                  <c:v>100.54132972858527</c:v>
                </c:pt>
                <c:pt idx="63">
                  <c:v>100.73808168984232</c:v>
                </c:pt>
                <c:pt idx="64">
                  <c:v>100.15806353554532</c:v>
                </c:pt>
                <c:pt idx="65">
                  <c:v>99.343745215445935</c:v>
                </c:pt>
                <c:pt idx="66">
                  <c:v>99.343745215445935</c:v>
                </c:pt>
                <c:pt idx="67">
                  <c:v>99.343745215445935</c:v>
                </c:pt>
                <c:pt idx="68">
                  <c:v>99.125206141751448</c:v>
                </c:pt>
                <c:pt idx="69">
                  <c:v>99.377250900031655</c:v>
                </c:pt>
                <c:pt idx="70">
                  <c:v>99.184164943609574</c:v>
                </c:pt>
                <c:pt idx="71">
                  <c:v>98.937555704151563</c:v>
                </c:pt>
                <c:pt idx="72">
                  <c:v>98.914121418463083</c:v>
                </c:pt>
                <c:pt idx="73">
                  <c:v>98.914121418463083</c:v>
                </c:pt>
                <c:pt idx="74">
                  <c:v>98.914121418463083</c:v>
                </c:pt>
                <c:pt idx="75">
                  <c:v>99.205654917371604</c:v>
                </c:pt>
                <c:pt idx="76">
                  <c:v>99.371085162649578</c:v>
                </c:pt>
                <c:pt idx="77">
                  <c:v>98.886629047688672</c:v>
                </c:pt>
                <c:pt idx="78">
                  <c:v>98.167908725415614</c:v>
                </c:pt>
                <c:pt idx="79">
                  <c:v>97.283732963546967</c:v>
                </c:pt>
                <c:pt idx="80">
                  <c:v>97.283732963546967</c:v>
                </c:pt>
                <c:pt idx="81">
                  <c:v>97.283732963546967</c:v>
                </c:pt>
                <c:pt idx="82">
                  <c:v>97.626667556631787</c:v>
                </c:pt>
                <c:pt idx="83">
                  <c:v>98.023428212183077</c:v>
                </c:pt>
                <c:pt idx="84">
                  <c:v>98.730223507208649</c:v>
                </c:pt>
                <c:pt idx="85">
                  <c:v>98.240279151074375</c:v>
                </c:pt>
                <c:pt idx="86">
                  <c:v>97.871792898928135</c:v>
                </c:pt>
                <c:pt idx="87">
                  <c:v>97.871792898928135</c:v>
                </c:pt>
                <c:pt idx="88">
                  <c:v>97.871792898928135</c:v>
                </c:pt>
                <c:pt idx="89">
                  <c:v>98.190187742405953</c:v>
                </c:pt>
                <c:pt idx="90">
                  <c:v>99.285524733630098</c:v>
                </c:pt>
                <c:pt idx="91">
                  <c:v>99.693325635052148</c:v>
                </c:pt>
                <c:pt idx="92">
                  <c:v>99.895176821866215</c:v>
                </c:pt>
                <c:pt idx="93">
                  <c:v>99.893492795302421</c:v>
                </c:pt>
                <c:pt idx="94">
                  <c:v>99.893492795302421</c:v>
                </c:pt>
                <c:pt idx="95">
                  <c:v>99.893492795302421</c:v>
                </c:pt>
                <c:pt idx="96">
                  <c:v>99.912349402307186</c:v>
                </c:pt>
                <c:pt idx="97">
                  <c:v>99.529605915340483</c:v>
                </c:pt>
                <c:pt idx="98">
                  <c:v>100.61245753729868</c:v>
                </c:pt>
                <c:pt idx="99">
                  <c:v>100.82233008372833</c:v>
                </c:pt>
                <c:pt idx="100">
                  <c:v>100.97377631684384</c:v>
                </c:pt>
                <c:pt idx="101">
                  <c:v>100.97377631684384</c:v>
                </c:pt>
                <c:pt idx="102">
                  <c:v>100.97377631684384</c:v>
                </c:pt>
                <c:pt idx="103">
                  <c:v>100.96005496081217</c:v>
                </c:pt>
                <c:pt idx="104">
                  <c:v>101.32163740591049</c:v>
                </c:pt>
                <c:pt idx="105">
                  <c:v>101.40607379344971</c:v>
                </c:pt>
                <c:pt idx="106">
                  <c:v>101.40532521091669</c:v>
                </c:pt>
                <c:pt idx="107">
                  <c:v>102.1361525206991</c:v>
                </c:pt>
                <c:pt idx="108">
                  <c:v>102.1361525206991</c:v>
                </c:pt>
                <c:pt idx="109">
                  <c:v>102.1361525206991</c:v>
                </c:pt>
                <c:pt idx="110">
                  <c:v>101.83200762160705</c:v>
                </c:pt>
                <c:pt idx="111">
                  <c:v>101.39276475643439</c:v>
                </c:pt>
                <c:pt idx="112">
                  <c:v>101.48811297351098</c:v>
                </c:pt>
                <c:pt idx="113">
                  <c:v>101.79330969373663</c:v>
                </c:pt>
                <c:pt idx="114">
                  <c:v>101.83238845271831</c:v>
                </c:pt>
                <c:pt idx="115">
                  <c:v>101.83238845271831</c:v>
                </c:pt>
                <c:pt idx="116">
                  <c:v>101.83238845271831</c:v>
                </c:pt>
                <c:pt idx="117">
                  <c:v>101.72937369140934</c:v>
                </c:pt>
                <c:pt idx="118">
                  <c:v>101.79425338067047</c:v>
                </c:pt>
                <c:pt idx="119">
                  <c:v>101.44105093994074</c:v>
                </c:pt>
                <c:pt idx="120">
                  <c:v>101.72246782054359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C-49A0-B22A-49075B48F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44775"/>
        <c:axId val="56945135"/>
      </c:lineChart>
      <c:dateAx>
        <c:axId val="56944775"/>
        <c:scaling>
          <c:orientation val="minMax"/>
        </c:scaling>
        <c:delete val="0"/>
        <c:axPos val="b"/>
        <c:numFmt formatCode="dd\.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945135"/>
        <c:crosses val="autoZero"/>
        <c:auto val="1"/>
        <c:lblOffset val="100"/>
        <c:baseTimeUnit val="days"/>
        <c:majorUnit val="1"/>
        <c:majorTimeUnit val="months"/>
      </c:dateAx>
      <c:valAx>
        <c:axId val="56945135"/>
        <c:scaling>
          <c:orientation val="minMax"/>
          <c:min val="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94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1" Type="http://schemas.openxmlformats.org/officeDocument/2006/relationships/chart" Target="../charts/chart1.xml"/><Relationship Id="rId5" Type="http://schemas.openxmlformats.org/officeDocument/2006/relationships/image" Target="../media/image6.png"/><Relationship Id="rId10" Type="http://schemas.openxmlformats.org/officeDocument/2006/relationships/image" Target="../media/image11.svg"/><Relationship Id="rId4" Type="http://schemas.openxmlformats.org/officeDocument/2006/relationships/image" Target="../media/image5.svg"/><Relationship Id="rId9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206813</xdr:colOff>
      <xdr:row>0</xdr:row>
      <xdr:rowOff>144780</xdr:rowOff>
    </xdr:from>
    <xdr:to>
      <xdr:col>8</xdr:col>
      <xdr:colOff>626415</xdr:colOff>
      <xdr:row>16</xdr:row>
      <xdr:rowOff>126332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1951F761-4433-4EF4-9E17-2E1CEC6B2142}"/>
            </a:ext>
          </a:extLst>
        </xdr:cNvPr>
        <xdr:cNvGrpSpPr/>
      </xdr:nvGrpSpPr>
      <xdr:grpSpPr>
        <a:xfrm>
          <a:off x="206813" y="144780"/>
          <a:ext cx="7247122" cy="2785712"/>
          <a:chOff x="10620664" y="704248"/>
          <a:chExt cx="7247122" cy="2785712"/>
        </a:xfrm>
      </xdr:grpSpPr>
      <xdr:sp macro="" textlink="">
        <xdr:nvSpPr>
          <xdr:cNvPr id="3" name="Rechteck 2">
            <a:extLst>
              <a:ext uri="{FF2B5EF4-FFF2-40B4-BE49-F238E27FC236}">
                <a16:creationId xmlns:a16="http://schemas.microsoft.com/office/drawing/2014/main" id="{DA65767E-B54A-0AC5-45DA-ADF6D3663489}"/>
              </a:ext>
            </a:extLst>
          </xdr:cNvPr>
          <xdr:cNvSpPr/>
        </xdr:nvSpPr>
        <xdr:spPr>
          <a:xfrm>
            <a:off x="10642451" y="1150620"/>
            <a:ext cx="7049431" cy="233934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 kern="1200"/>
          </a:p>
        </xdr:txBody>
      </xdr:sp>
      <xdr:grpSp>
        <xdr:nvGrpSpPr>
          <xdr:cNvPr id="4" name="Gruppieren 3">
            <a:extLst>
              <a:ext uri="{FF2B5EF4-FFF2-40B4-BE49-F238E27FC236}">
                <a16:creationId xmlns:a16="http://schemas.microsoft.com/office/drawing/2014/main" id="{FF47C4F5-84F4-5BFF-EF3D-0FEBC4293D3E}"/>
              </a:ext>
            </a:extLst>
          </xdr:cNvPr>
          <xdr:cNvGrpSpPr/>
        </xdr:nvGrpSpPr>
        <xdr:grpSpPr>
          <a:xfrm>
            <a:off x="10953338" y="1255427"/>
            <a:ext cx="6909040" cy="699159"/>
            <a:chOff x="10952249" y="1229130"/>
            <a:chExt cx="6906863" cy="693888"/>
          </a:xfrm>
        </xdr:grpSpPr>
        <xdr:sp macro="" textlink="">
          <xdr:nvSpPr>
            <xdr:cNvPr id="43" name="Textfeld 42">
              <a:extLst>
                <a:ext uri="{FF2B5EF4-FFF2-40B4-BE49-F238E27FC236}">
                  <a16:creationId xmlns:a16="http://schemas.microsoft.com/office/drawing/2014/main" id="{5BAACFF7-0D2B-30E7-584F-5AE682AB2CE7}"/>
                </a:ext>
              </a:extLst>
            </xdr:cNvPr>
            <xdr:cNvSpPr txBox="1"/>
          </xdr:nvSpPr>
          <xdr:spPr>
            <a:xfrm>
              <a:off x="11387463" y="1449674"/>
              <a:ext cx="1381995" cy="4733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CH" sz="1100" kern="1200"/>
                <a:t>Equities</a:t>
              </a:r>
              <a:r>
                <a:rPr lang="de-CH" sz="1100" kern="1200" baseline="0"/>
                <a:t>/Bonds Ratio</a:t>
              </a:r>
              <a:endParaRPr lang="de-CH" sz="1100" kern="1200"/>
            </a:p>
          </xdr:txBody>
        </xdr:sp>
        <xdr:pic>
          <xdr:nvPicPr>
            <xdr:cNvPr id="44" name="Grafik 43" descr="Informationen mit einfarbiger Füllung">
              <a:extLst>
                <a:ext uri="{FF2B5EF4-FFF2-40B4-BE49-F238E27FC236}">
                  <a16:creationId xmlns:a16="http://schemas.microsoft.com/office/drawing/2014/main" id="{5C2E70C9-3015-0EBC-083D-091867454E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12690571" y="1477024"/>
              <a:ext cx="188707" cy="181791"/>
            </a:xfrm>
            <a:prstGeom prst="rect">
              <a:avLst/>
            </a:prstGeom>
          </xdr:spPr>
        </xdr:pic>
        <xdr:pic>
          <xdr:nvPicPr>
            <xdr:cNvPr id="45" name="Grafik 44" descr="Waage der Justitia Silhouette">
              <a:extLst>
                <a:ext uri="{FF2B5EF4-FFF2-40B4-BE49-F238E27FC236}">
                  <a16:creationId xmlns:a16="http://schemas.microsoft.com/office/drawing/2014/main" id="{15FB10DB-BE70-B758-4620-387F4811D9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0952249" y="1436067"/>
              <a:ext cx="250948" cy="240846"/>
            </a:xfrm>
            <a:prstGeom prst="rect">
              <a:avLst/>
            </a:prstGeom>
          </xdr:spPr>
        </xdr:pic>
        <xdr:grpSp>
          <xdr:nvGrpSpPr>
            <xdr:cNvPr id="46" name="Gruppieren 45">
              <a:extLst>
                <a:ext uri="{FF2B5EF4-FFF2-40B4-BE49-F238E27FC236}">
                  <a16:creationId xmlns:a16="http://schemas.microsoft.com/office/drawing/2014/main" id="{B2C12D21-831D-7845-A949-E693D0A8B713}"/>
                </a:ext>
              </a:extLst>
            </xdr:cNvPr>
            <xdr:cNvGrpSpPr/>
          </xdr:nvGrpSpPr>
          <xdr:grpSpPr>
            <a:xfrm>
              <a:off x="13045167" y="1229130"/>
              <a:ext cx="4813945" cy="516656"/>
              <a:chOff x="13091893" y="1257881"/>
              <a:chExt cx="3316789" cy="538314"/>
            </a:xfrm>
          </xdr:grpSpPr>
          <xdr:cxnSp macro="">
            <xdr:nvCxnSpPr>
              <xdr:cNvPr id="47" name="Gerader Verbinder 46">
                <a:extLst>
                  <a:ext uri="{FF2B5EF4-FFF2-40B4-BE49-F238E27FC236}">
                    <a16:creationId xmlns:a16="http://schemas.microsoft.com/office/drawing/2014/main" id="{A2F177FD-B077-11C1-0884-4B5CA09D1FBF}"/>
                  </a:ext>
                </a:extLst>
              </xdr:cNvPr>
              <xdr:cNvCxnSpPr/>
            </xdr:nvCxnSpPr>
            <xdr:spPr>
              <a:xfrm>
                <a:off x="13470988" y="1642989"/>
                <a:ext cx="2150270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8" name="Ellipse 47">
                <a:extLst>
                  <a:ext uri="{FF2B5EF4-FFF2-40B4-BE49-F238E27FC236}">
                    <a16:creationId xmlns:a16="http://schemas.microsoft.com/office/drawing/2014/main" id="{5321AF6F-43D5-8190-1ED6-709C01B873E1}"/>
                  </a:ext>
                </a:extLst>
              </xdr:cNvPr>
              <xdr:cNvSpPr/>
            </xdr:nvSpPr>
            <xdr:spPr>
              <a:xfrm>
                <a:off x="15094871" y="1568221"/>
                <a:ext cx="99254" cy="141120"/>
              </a:xfrm>
              <a:prstGeom prst="ellipse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CH" sz="1100" kern="1200"/>
              </a:p>
            </xdr:txBody>
          </xdr:sp>
          <xdr:sp macro="" textlink="">
            <xdr:nvSpPr>
              <xdr:cNvPr id="49" name="Textfeld 48">
                <a:extLst>
                  <a:ext uri="{FF2B5EF4-FFF2-40B4-BE49-F238E27FC236}">
                    <a16:creationId xmlns:a16="http://schemas.microsoft.com/office/drawing/2014/main" id="{1BDE58E2-3862-85B5-67AE-D5D0066B0F0B}"/>
                  </a:ext>
                </a:extLst>
              </xdr:cNvPr>
              <xdr:cNvSpPr txBox="1"/>
            </xdr:nvSpPr>
            <xdr:spPr>
              <a:xfrm>
                <a:off x="14505221" y="1257881"/>
                <a:ext cx="399784" cy="30245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/>
                <a:r>
                  <a:rPr lang="de-CH" sz="1100" b="1" kern="120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rPr>
                  <a:t>1/2</a:t>
                </a:r>
              </a:p>
            </xdr:txBody>
          </xdr:sp>
          <xdr:sp macro="" textlink="">
            <xdr:nvSpPr>
              <xdr:cNvPr id="50" name="Textfeld 49">
                <a:extLst>
                  <a:ext uri="{FF2B5EF4-FFF2-40B4-BE49-F238E27FC236}">
                    <a16:creationId xmlns:a16="http://schemas.microsoft.com/office/drawing/2014/main" id="{628D7CC7-0CB3-15A9-D216-41538584F983}"/>
                  </a:ext>
                </a:extLst>
              </xdr:cNvPr>
              <xdr:cNvSpPr txBox="1"/>
            </xdr:nvSpPr>
            <xdr:spPr>
              <a:xfrm>
                <a:off x="13091893" y="1488904"/>
                <a:ext cx="389645" cy="29410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0%</a:t>
                </a:r>
              </a:p>
            </xdr:txBody>
          </xdr:sp>
          <xdr:sp macro="" textlink="">
            <xdr:nvSpPr>
              <xdr:cNvPr id="51" name="Textfeld 50">
                <a:extLst>
                  <a:ext uri="{FF2B5EF4-FFF2-40B4-BE49-F238E27FC236}">
                    <a16:creationId xmlns:a16="http://schemas.microsoft.com/office/drawing/2014/main" id="{F50DE764-FEB6-EA87-B3A5-B0BD906695CC}"/>
                  </a:ext>
                </a:extLst>
              </xdr:cNvPr>
              <xdr:cNvSpPr txBox="1"/>
            </xdr:nvSpPr>
            <xdr:spPr>
              <a:xfrm>
                <a:off x="15667199" y="1502093"/>
                <a:ext cx="741483" cy="29410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100%</a:t>
                </a:r>
              </a:p>
            </xdr:txBody>
          </xdr:sp>
          <xdr:sp macro="" textlink="">
            <xdr:nvSpPr>
              <xdr:cNvPr id="52" name="Textfeld 51">
                <a:extLst>
                  <a:ext uri="{FF2B5EF4-FFF2-40B4-BE49-F238E27FC236}">
                    <a16:creationId xmlns:a16="http://schemas.microsoft.com/office/drawing/2014/main" id="{570A6752-EB32-1649-3B09-9B55B453759F}"/>
                  </a:ext>
                </a:extLst>
              </xdr:cNvPr>
              <xdr:cNvSpPr txBox="1"/>
            </xdr:nvSpPr>
            <xdr:spPr>
              <a:xfrm>
                <a:off x="15003649" y="1261171"/>
                <a:ext cx="463170" cy="30245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>
                    <a:solidFill>
                      <a:schemeClr val="accent1"/>
                    </a:solidFill>
                  </a:rPr>
                  <a:t>70%</a:t>
                </a:r>
              </a:p>
            </xdr:txBody>
          </xdr:sp>
          <xdr:cxnSp macro="">
            <xdr:nvCxnSpPr>
              <xdr:cNvPr id="53" name="Gerader Verbinder 52">
                <a:extLst>
                  <a:ext uri="{FF2B5EF4-FFF2-40B4-BE49-F238E27FC236}">
                    <a16:creationId xmlns:a16="http://schemas.microsoft.com/office/drawing/2014/main" id="{3283761E-FC97-86C4-28F3-89082B8297A7}"/>
                  </a:ext>
                </a:extLst>
              </xdr:cNvPr>
              <xdr:cNvCxnSpPr/>
            </xdr:nvCxnSpPr>
            <xdr:spPr>
              <a:xfrm>
                <a:off x="14624540" y="1533259"/>
                <a:ext cx="0" cy="199636"/>
              </a:xfrm>
              <a:prstGeom prst="line">
                <a:avLst/>
              </a:prstGeom>
              <a:ln w="28575">
                <a:solidFill>
                  <a:schemeClr val="bg1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5" name="Gruppieren 4">
            <a:extLst>
              <a:ext uri="{FF2B5EF4-FFF2-40B4-BE49-F238E27FC236}">
                <a16:creationId xmlns:a16="http://schemas.microsoft.com/office/drawing/2014/main" id="{EE41F7F4-D07B-8E59-DA6C-432C4F21D7E3}"/>
              </a:ext>
            </a:extLst>
          </xdr:cNvPr>
          <xdr:cNvGrpSpPr/>
        </xdr:nvGrpSpPr>
        <xdr:grpSpPr>
          <a:xfrm>
            <a:off x="10944117" y="1729599"/>
            <a:ext cx="6895010" cy="563423"/>
            <a:chOff x="10940980" y="2602314"/>
            <a:chExt cx="6899492" cy="575525"/>
          </a:xfrm>
        </xdr:grpSpPr>
        <xdr:sp macro="" textlink="">
          <xdr:nvSpPr>
            <xdr:cNvPr id="32" name="Textfeld 31">
              <a:extLst>
                <a:ext uri="{FF2B5EF4-FFF2-40B4-BE49-F238E27FC236}">
                  <a16:creationId xmlns:a16="http://schemas.microsoft.com/office/drawing/2014/main" id="{6D8ECF86-D015-18A3-F24D-38E1D5DAEBF6}"/>
                </a:ext>
              </a:extLst>
            </xdr:cNvPr>
            <xdr:cNvSpPr txBox="1"/>
          </xdr:nvSpPr>
          <xdr:spPr>
            <a:xfrm>
              <a:off x="11394158" y="2843132"/>
              <a:ext cx="1300554" cy="2976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CH" sz="1100" kern="1200"/>
                <a:t>Homebias Equities</a:t>
              </a:r>
            </a:p>
          </xdr:txBody>
        </xdr:sp>
        <xdr:pic>
          <xdr:nvPicPr>
            <xdr:cNvPr id="33" name="Grafik 32" descr="Start Silhouette">
              <a:extLst>
                <a:ext uri="{FF2B5EF4-FFF2-40B4-BE49-F238E27FC236}">
                  <a16:creationId xmlns:a16="http://schemas.microsoft.com/office/drawing/2014/main" id="{5A302935-02F5-2224-94D5-F0D46E5430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10940980" y="2814446"/>
              <a:ext cx="251460" cy="244287"/>
            </a:xfrm>
            <a:prstGeom prst="rect">
              <a:avLst/>
            </a:prstGeom>
          </xdr:spPr>
        </xdr:pic>
        <xdr:pic>
          <xdr:nvPicPr>
            <xdr:cNvPr id="34" name="Grafik 33" descr="Informationen mit einfarbiger Füllung">
              <a:extLst>
                <a:ext uri="{FF2B5EF4-FFF2-40B4-BE49-F238E27FC236}">
                  <a16:creationId xmlns:a16="http://schemas.microsoft.com/office/drawing/2014/main" id="{2F1CD98C-DD3A-C3C8-9D49-DDCD260D4DA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12681094" y="2898209"/>
              <a:ext cx="188707" cy="186914"/>
            </a:xfrm>
            <a:prstGeom prst="rect">
              <a:avLst/>
            </a:prstGeom>
          </xdr:spPr>
        </xdr:pic>
        <xdr:grpSp>
          <xdr:nvGrpSpPr>
            <xdr:cNvPr id="35" name="Gruppieren 34">
              <a:extLst>
                <a:ext uri="{FF2B5EF4-FFF2-40B4-BE49-F238E27FC236}">
                  <a16:creationId xmlns:a16="http://schemas.microsoft.com/office/drawing/2014/main" id="{12186446-9A99-0200-7AB1-86DAFBA450E6}"/>
                </a:ext>
              </a:extLst>
            </xdr:cNvPr>
            <xdr:cNvGrpSpPr/>
          </xdr:nvGrpSpPr>
          <xdr:grpSpPr>
            <a:xfrm>
              <a:off x="13037890" y="2602314"/>
              <a:ext cx="4802582" cy="575525"/>
              <a:chOff x="13082368" y="1901794"/>
              <a:chExt cx="3301344" cy="582766"/>
            </a:xfrm>
          </xdr:grpSpPr>
          <xdr:cxnSp macro="">
            <xdr:nvCxnSpPr>
              <xdr:cNvPr id="36" name="Gerader Verbinder 35">
                <a:extLst>
                  <a:ext uri="{FF2B5EF4-FFF2-40B4-BE49-F238E27FC236}">
                    <a16:creationId xmlns:a16="http://schemas.microsoft.com/office/drawing/2014/main" id="{83B9FF0B-67D5-3BAC-E314-C02FD723C537}"/>
                  </a:ext>
                </a:extLst>
              </xdr:cNvPr>
              <xdr:cNvCxnSpPr/>
            </xdr:nvCxnSpPr>
            <xdr:spPr>
              <a:xfrm>
                <a:off x="13463368" y="2310032"/>
                <a:ext cx="2124650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7" name="Ellipse 36">
                <a:extLst>
                  <a:ext uri="{FF2B5EF4-FFF2-40B4-BE49-F238E27FC236}">
                    <a16:creationId xmlns:a16="http://schemas.microsoft.com/office/drawing/2014/main" id="{F5896D26-93C6-9045-B8DF-35EA04C0A0CB}"/>
                  </a:ext>
                </a:extLst>
              </xdr:cNvPr>
              <xdr:cNvSpPr/>
            </xdr:nvSpPr>
            <xdr:spPr>
              <a:xfrm>
                <a:off x="14814595" y="2228641"/>
                <a:ext cx="98987" cy="145812"/>
              </a:xfrm>
              <a:prstGeom prst="ellipse">
                <a:avLst/>
              </a:prstGeom>
              <a:solidFill>
                <a:schemeClr val="tx2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CH" sz="1100" kern="1200"/>
              </a:p>
            </xdr:txBody>
          </xdr:sp>
          <xdr:sp macro="" textlink="">
            <xdr:nvSpPr>
              <xdr:cNvPr id="38" name="Textfeld 37">
                <a:extLst>
                  <a:ext uri="{FF2B5EF4-FFF2-40B4-BE49-F238E27FC236}">
                    <a16:creationId xmlns:a16="http://schemas.microsoft.com/office/drawing/2014/main" id="{510F4F19-6939-BA65-7FD6-442E191627DA}"/>
                  </a:ext>
                </a:extLst>
              </xdr:cNvPr>
              <xdr:cNvSpPr txBox="1"/>
            </xdr:nvSpPr>
            <xdr:spPr>
              <a:xfrm>
                <a:off x="14090782" y="1901794"/>
                <a:ext cx="527061" cy="3043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b="1" kern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1/3</a:t>
                </a:r>
              </a:p>
            </xdr:txBody>
          </xdr:sp>
          <xdr:sp macro="" textlink="">
            <xdr:nvSpPr>
              <xdr:cNvPr id="39" name="Textfeld 38">
                <a:extLst>
                  <a:ext uri="{FF2B5EF4-FFF2-40B4-BE49-F238E27FC236}">
                    <a16:creationId xmlns:a16="http://schemas.microsoft.com/office/drawing/2014/main" id="{8EE7E58B-7BD2-D5CF-4055-6E0622C5DC0F}"/>
                  </a:ext>
                </a:extLst>
              </xdr:cNvPr>
              <xdr:cNvSpPr txBox="1"/>
            </xdr:nvSpPr>
            <xdr:spPr>
              <a:xfrm>
                <a:off x="13082368" y="2162615"/>
                <a:ext cx="852854" cy="2948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0%</a:t>
                </a:r>
              </a:p>
            </xdr:txBody>
          </xdr:sp>
          <xdr:sp macro="" textlink="">
            <xdr:nvSpPr>
              <xdr:cNvPr id="40" name="Textfeld 39">
                <a:extLst>
                  <a:ext uri="{FF2B5EF4-FFF2-40B4-BE49-F238E27FC236}">
                    <a16:creationId xmlns:a16="http://schemas.microsoft.com/office/drawing/2014/main" id="{465CF8A6-2C19-ACA2-F3B8-3B4C7D578003}"/>
                  </a:ext>
                </a:extLst>
              </xdr:cNvPr>
              <xdr:cNvSpPr txBox="1"/>
            </xdr:nvSpPr>
            <xdr:spPr>
              <a:xfrm>
                <a:off x="15642229" y="2189725"/>
                <a:ext cx="741483" cy="2948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100%</a:t>
                </a:r>
              </a:p>
            </xdr:txBody>
          </xdr:sp>
          <xdr:sp macro="" textlink="">
            <xdr:nvSpPr>
              <xdr:cNvPr id="41" name="Textfeld 40">
                <a:extLst>
                  <a:ext uri="{FF2B5EF4-FFF2-40B4-BE49-F238E27FC236}">
                    <a16:creationId xmlns:a16="http://schemas.microsoft.com/office/drawing/2014/main" id="{AF83E28B-0C70-719C-2A10-F7983B945E8C}"/>
                  </a:ext>
                </a:extLst>
              </xdr:cNvPr>
              <xdr:cNvSpPr txBox="1"/>
            </xdr:nvSpPr>
            <xdr:spPr>
              <a:xfrm>
                <a:off x="14736596" y="1923870"/>
                <a:ext cx="468343" cy="30245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>
                    <a:solidFill>
                      <a:schemeClr val="accent1"/>
                    </a:solidFill>
                  </a:rPr>
                  <a:t>60%</a:t>
                </a:r>
              </a:p>
            </xdr:txBody>
          </xdr:sp>
          <xdr:cxnSp macro="">
            <xdr:nvCxnSpPr>
              <xdr:cNvPr id="42" name="Gerader Verbinder 41">
                <a:extLst>
                  <a:ext uri="{FF2B5EF4-FFF2-40B4-BE49-F238E27FC236}">
                    <a16:creationId xmlns:a16="http://schemas.microsoft.com/office/drawing/2014/main" id="{9E40C433-82E2-F687-CA8D-B5053F702200}"/>
                  </a:ext>
                </a:extLst>
              </xdr:cNvPr>
              <xdr:cNvCxnSpPr/>
            </xdr:nvCxnSpPr>
            <xdr:spPr>
              <a:xfrm>
                <a:off x="14241598" y="2215268"/>
                <a:ext cx="0" cy="199636"/>
              </a:xfrm>
              <a:prstGeom prst="line">
                <a:avLst/>
              </a:prstGeom>
              <a:ln w="28575">
                <a:solidFill>
                  <a:schemeClr val="bg1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9C12B461-1638-B2AF-0B9D-EAD29D4C460F}"/>
              </a:ext>
            </a:extLst>
          </xdr:cNvPr>
          <xdr:cNvGrpSpPr/>
        </xdr:nvGrpSpPr>
        <xdr:grpSpPr>
          <a:xfrm>
            <a:off x="10909376" y="2771184"/>
            <a:ext cx="6934162" cy="527437"/>
            <a:chOff x="10930058" y="3270768"/>
            <a:chExt cx="6931985" cy="524243"/>
          </a:xfrm>
        </xdr:grpSpPr>
        <xdr:sp macro="" textlink="">
          <xdr:nvSpPr>
            <xdr:cNvPr id="21" name="Textfeld 20">
              <a:extLst>
                <a:ext uri="{FF2B5EF4-FFF2-40B4-BE49-F238E27FC236}">
                  <a16:creationId xmlns:a16="http://schemas.microsoft.com/office/drawing/2014/main" id="{C7E702C6-7834-0D6B-E0CA-77FEE48F4D91}"/>
                </a:ext>
              </a:extLst>
            </xdr:cNvPr>
            <xdr:cNvSpPr txBox="1"/>
          </xdr:nvSpPr>
          <xdr:spPr>
            <a:xfrm>
              <a:off x="11434773" y="3453282"/>
              <a:ext cx="1667692" cy="304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CH" sz="1100" kern="1200"/>
                <a:t>FX-Hedging</a:t>
              </a:r>
            </a:p>
          </xdr:txBody>
        </xdr:sp>
        <xdr:pic>
          <xdr:nvPicPr>
            <xdr:cNvPr id="22" name="Grafik 21" descr="Dollar Silhouette">
              <a:extLst>
                <a:ext uri="{FF2B5EF4-FFF2-40B4-BE49-F238E27FC236}">
                  <a16:creationId xmlns:a16="http://schemas.microsoft.com/office/drawing/2014/main" id="{18511D3B-0A9E-C887-479B-E3E611D120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10930058" y="3410494"/>
              <a:ext cx="295330" cy="293663"/>
            </a:xfrm>
            <a:prstGeom prst="rect">
              <a:avLst/>
            </a:prstGeom>
          </xdr:spPr>
        </xdr:pic>
        <xdr:grpSp>
          <xdr:nvGrpSpPr>
            <xdr:cNvPr id="23" name="Gruppieren 22">
              <a:extLst>
                <a:ext uri="{FF2B5EF4-FFF2-40B4-BE49-F238E27FC236}">
                  <a16:creationId xmlns:a16="http://schemas.microsoft.com/office/drawing/2014/main" id="{B2633396-FE0B-640D-D97B-622A83BF8C59}"/>
                </a:ext>
              </a:extLst>
            </xdr:cNvPr>
            <xdr:cNvGrpSpPr/>
          </xdr:nvGrpSpPr>
          <xdr:grpSpPr>
            <a:xfrm>
              <a:off x="13063119" y="3270768"/>
              <a:ext cx="4798924" cy="524243"/>
              <a:chOff x="13074674" y="2674009"/>
              <a:chExt cx="3301362" cy="529322"/>
            </a:xfrm>
          </xdr:grpSpPr>
          <xdr:cxnSp macro="">
            <xdr:nvCxnSpPr>
              <xdr:cNvPr id="25" name="Gerader Verbinder 24">
                <a:extLst>
                  <a:ext uri="{FF2B5EF4-FFF2-40B4-BE49-F238E27FC236}">
                    <a16:creationId xmlns:a16="http://schemas.microsoft.com/office/drawing/2014/main" id="{38A32199-D22A-55D6-BEFE-D2F8ECDD7FC5}"/>
                  </a:ext>
                </a:extLst>
              </xdr:cNvPr>
              <xdr:cNvCxnSpPr/>
            </xdr:nvCxnSpPr>
            <xdr:spPr>
              <a:xfrm>
                <a:off x="13456700" y="3053056"/>
                <a:ext cx="2108243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6" name="Ellipse 25">
                <a:extLst>
                  <a:ext uri="{FF2B5EF4-FFF2-40B4-BE49-F238E27FC236}">
                    <a16:creationId xmlns:a16="http://schemas.microsoft.com/office/drawing/2014/main" id="{143117F8-5586-908F-57AC-CE154EE5FDD3}"/>
                  </a:ext>
                </a:extLst>
              </xdr:cNvPr>
              <xdr:cNvSpPr/>
            </xdr:nvSpPr>
            <xdr:spPr>
              <a:xfrm>
                <a:off x="13413262" y="2960242"/>
                <a:ext cx="98957" cy="145953"/>
              </a:xfrm>
              <a:prstGeom prst="ellipse">
                <a:avLst/>
              </a:prstGeom>
              <a:solidFill>
                <a:schemeClr val="tx2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CH" sz="1100" kern="1200"/>
              </a:p>
            </xdr:txBody>
          </xdr:sp>
          <xdr:sp macro="" textlink="">
            <xdr:nvSpPr>
              <xdr:cNvPr id="27" name="Textfeld 26">
                <a:extLst>
                  <a:ext uri="{FF2B5EF4-FFF2-40B4-BE49-F238E27FC236}">
                    <a16:creationId xmlns:a16="http://schemas.microsoft.com/office/drawing/2014/main" id="{DAD37792-87F8-DD98-7D7F-B870D81C9795}"/>
                  </a:ext>
                </a:extLst>
              </xdr:cNvPr>
              <xdr:cNvSpPr txBox="1"/>
            </xdr:nvSpPr>
            <xdr:spPr>
              <a:xfrm>
                <a:off x="15146051" y="2674009"/>
                <a:ext cx="455567" cy="29674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/>
                <a:r>
                  <a:rPr lang="de-CH" sz="1100" b="1" kern="120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rPr>
                  <a:t>4/5</a:t>
                </a:r>
              </a:p>
            </xdr:txBody>
          </xdr:sp>
          <xdr:sp macro="" textlink="">
            <xdr:nvSpPr>
              <xdr:cNvPr id="28" name="Textfeld 27">
                <a:extLst>
                  <a:ext uri="{FF2B5EF4-FFF2-40B4-BE49-F238E27FC236}">
                    <a16:creationId xmlns:a16="http://schemas.microsoft.com/office/drawing/2014/main" id="{55D8D0E4-1BD1-D513-A17B-9DE3A6DE8819}"/>
                  </a:ext>
                </a:extLst>
              </xdr:cNvPr>
              <xdr:cNvSpPr txBox="1"/>
            </xdr:nvSpPr>
            <xdr:spPr>
              <a:xfrm>
                <a:off x="13074674" y="2909228"/>
                <a:ext cx="852854" cy="29410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0%</a:t>
                </a:r>
              </a:p>
            </xdr:txBody>
          </xdr:sp>
          <xdr:sp macro="" textlink="">
            <xdr:nvSpPr>
              <xdr:cNvPr id="29" name="Textfeld 28">
                <a:extLst>
                  <a:ext uri="{FF2B5EF4-FFF2-40B4-BE49-F238E27FC236}">
                    <a16:creationId xmlns:a16="http://schemas.microsoft.com/office/drawing/2014/main" id="{C1B5F4BD-CA03-AD2F-7FA6-1F20C3CDF7C5}"/>
                  </a:ext>
                </a:extLst>
              </xdr:cNvPr>
              <xdr:cNvSpPr txBox="1"/>
            </xdr:nvSpPr>
            <xdr:spPr>
              <a:xfrm>
                <a:off x="15634553" y="2908129"/>
                <a:ext cx="741483" cy="29410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100%</a:t>
                </a:r>
              </a:p>
            </xdr:txBody>
          </xdr:sp>
          <xdr:cxnSp macro="">
            <xdr:nvCxnSpPr>
              <xdr:cNvPr id="30" name="Gerader Verbinder 29">
                <a:extLst>
                  <a:ext uri="{FF2B5EF4-FFF2-40B4-BE49-F238E27FC236}">
                    <a16:creationId xmlns:a16="http://schemas.microsoft.com/office/drawing/2014/main" id="{5ACE31D5-A876-E7D5-59BC-F5E56C153EC9}"/>
                  </a:ext>
                </a:extLst>
              </xdr:cNvPr>
              <xdr:cNvCxnSpPr/>
            </xdr:nvCxnSpPr>
            <xdr:spPr>
              <a:xfrm>
                <a:off x="15290341" y="2952146"/>
                <a:ext cx="0" cy="199637"/>
              </a:xfrm>
              <a:prstGeom prst="line">
                <a:avLst/>
              </a:prstGeom>
              <a:ln w="28575">
                <a:solidFill>
                  <a:schemeClr val="bg1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1" name="Textfeld 30">
                <a:extLst>
                  <a:ext uri="{FF2B5EF4-FFF2-40B4-BE49-F238E27FC236}">
                    <a16:creationId xmlns:a16="http://schemas.microsoft.com/office/drawing/2014/main" id="{22411912-AAB8-5CC8-DBDD-BCF2DC96DC85}"/>
                  </a:ext>
                </a:extLst>
              </xdr:cNvPr>
              <xdr:cNvSpPr txBox="1"/>
            </xdr:nvSpPr>
            <xdr:spPr>
              <a:xfrm>
                <a:off x="13337688" y="2692719"/>
                <a:ext cx="307950" cy="30245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>
                    <a:solidFill>
                      <a:schemeClr val="accent1"/>
                    </a:solidFill>
                  </a:rPr>
                  <a:t>0%</a:t>
                </a:r>
              </a:p>
            </xdr:txBody>
          </xdr:sp>
        </xdr:grpSp>
        <xdr:pic>
          <xdr:nvPicPr>
            <xdr:cNvPr id="24" name="Grafik 23" descr="Informationen mit einfarbiger Füllung">
              <a:extLst>
                <a:ext uri="{FF2B5EF4-FFF2-40B4-BE49-F238E27FC236}">
                  <a16:creationId xmlns:a16="http://schemas.microsoft.com/office/drawing/2014/main" id="{F8330610-A278-B511-51EF-AD0E42CCDE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12690571" y="3520691"/>
              <a:ext cx="188707" cy="190500"/>
            </a:xfrm>
            <a:prstGeom prst="rect">
              <a:avLst/>
            </a:prstGeom>
          </xdr:spPr>
        </xdr:pic>
      </xdr:grpSp>
      <xdr:grpSp>
        <xdr:nvGrpSpPr>
          <xdr:cNvPr id="7" name="Gruppieren 6">
            <a:extLst>
              <a:ext uri="{FF2B5EF4-FFF2-40B4-BE49-F238E27FC236}">
                <a16:creationId xmlns:a16="http://schemas.microsoft.com/office/drawing/2014/main" id="{97B1CB94-E16F-C44A-C114-CEDCD29F6B6A}"/>
              </a:ext>
            </a:extLst>
          </xdr:cNvPr>
          <xdr:cNvGrpSpPr/>
        </xdr:nvGrpSpPr>
        <xdr:grpSpPr>
          <a:xfrm>
            <a:off x="10943944" y="2220352"/>
            <a:ext cx="6923842" cy="537944"/>
            <a:chOff x="10964571" y="1926658"/>
            <a:chExt cx="6911220" cy="523960"/>
          </a:xfrm>
        </xdr:grpSpPr>
        <xdr:pic>
          <xdr:nvPicPr>
            <xdr:cNvPr id="9" name="Grafik 8" descr="Angebot und Nachfrage Silhouette">
              <a:extLst>
                <a:ext uri="{FF2B5EF4-FFF2-40B4-BE49-F238E27FC236}">
                  <a16:creationId xmlns:a16="http://schemas.microsoft.com/office/drawing/2014/main" id="{584E4B9F-9AAA-8C9D-A9B5-66A2E5CB5B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10964571" y="2123940"/>
              <a:ext cx="247708" cy="245495"/>
            </a:xfrm>
            <a:prstGeom prst="rect">
              <a:avLst/>
            </a:prstGeom>
          </xdr:spPr>
        </xdr:pic>
        <xdr:grpSp>
          <xdr:nvGrpSpPr>
            <xdr:cNvPr id="10" name="Gruppieren 9">
              <a:extLst>
                <a:ext uri="{FF2B5EF4-FFF2-40B4-BE49-F238E27FC236}">
                  <a16:creationId xmlns:a16="http://schemas.microsoft.com/office/drawing/2014/main" id="{39B2B675-F85B-E836-2D90-282EB0B1F927}"/>
                </a:ext>
              </a:extLst>
            </xdr:cNvPr>
            <xdr:cNvGrpSpPr/>
          </xdr:nvGrpSpPr>
          <xdr:grpSpPr>
            <a:xfrm>
              <a:off x="11423812" y="1926658"/>
              <a:ext cx="6451979" cy="523960"/>
              <a:chOff x="11396918" y="1926658"/>
              <a:chExt cx="6451979" cy="523960"/>
            </a:xfrm>
          </xdr:grpSpPr>
          <xdr:pic>
            <xdr:nvPicPr>
              <xdr:cNvPr id="11" name="Grafik 10" descr="Informationen mit einfarbiger Füllung">
                <a:extLst>
                  <a:ext uri="{FF2B5EF4-FFF2-40B4-BE49-F238E27FC236}">
                    <a16:creationId xmlns:a16="http://schemas.microsoft.com/office/drawing/2014/main" id="{D4CE9A0D-C155-3828-CBD5-92D444655EF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extLst>
                  <a:ext uri="{96DAC541-7B7A-43D3-8B79-37D633B846F1}">
                    <asvg:svgBlip xmlns:asvg="http://schemas.microsoft.com/office/drawing/2016/SVG/main" r:embed="rId2"/>
                  </a:ext>
                </a:extLst>
              </a:blip>
              <a:stretch>
                <a:fillRect/>
              </a:stretch>
            </xdr:blipFill>
            <xdr:spPr>
              <a:xfrm>
                <a:off x="12673488" y="2184554"/>
                <a:ext cx="188707" cy="186915"/>
              </a:xfrm>
              <a:prstGeom prst="rect">
                <a:avLst/>
              </a:prstGeom>
            </xdr:spPr>
          </xdr:pic>
          <xdr:sp macro="" textlink="">
            <xdr:nvSpPr>
              <xdr:cNvPr id="12" name="Textfeld 11">
                <a:extLst>
                  <a:ext uri="{FF2B5EF4-FFF2-40B4-BE49-F238E27FC236}">
                    <a16:creationId xmlns:a16="http://schemas.microsoft.com/office/drawing/2014/main" id="{BA71C20C-D177-AC74-9F39-11DD581F935F}"/>
                  </a:ext>
                </a:extLst>
              </xdr:cNvPr>
              <xdr:cNvSpPr txBox="1"/>
            </xdr:nvSpPr>
            <xdr:spPr>
              <a:xfrm>
                <a:off x="11396918" y="2143850"/>
                <a:ext cx="1138155" cy="30525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de-CH" sz="1100" kern="1200"/>
                  <a:t>Yield Curve CHF </a:t>
                </a:r>
              </a:p>
            </xdr:txBody>
          </xdr:sp>
          <xdr:grpSp>
            <xdr:nvGrpSpPr>
              <xdr:cNvPr id="13" name="Gruppieren 12">
                <a:extLst>
                  <a:ext uri="{FF2B5EF4-FFF2-40B4-BE49-F238E27FC236}">
                    <a16:creationId xmlns:a16="http://schemas.microsoft.com/office/drawing/2014/main" id="{AF67B814-44C5-B42C-A49D-61A1A68B5C69}"/>
                  </a:ext>
                </a:extLst>
              </xdr:cNvPr>
              <xdr:cNvGrpSpPr/>
            </xdr:nvGrpSpPr>
            <xdr:grpSpPr>
              <a:xfrm>
                <a:off x="13035691" y="1926658"/>
                <a:ext cx="4813206" cy="523960"/>
                <a:chOff x="13091893" y="1253291"/>
                <a:chExt cx="3311435" cy="531180"/>
              </a:xfrm>
            </xdr:grpSpPr>
            <xdr:cxnSp macro="">
              <xdr:nvCxnSpPr>
                <xdr:cNvPr id="14" name="Gerader Verbinder 13">
                  <a:extLst>
                    <a:ext uri="{FF2B5EF4-FFF2-40B4-BE49-F238E27FC236}">
                      <a16:creationId xmlns:a16="http://schemas.microsoft.com/office/drawing/2014/main" id="{58E19273-F874-A501-025B-433B25FC8A6F}"/>
                    </a:ext>
                  </a:extLst>
                </xdr:cNvPr>
                <xdr:cNvCxnSpPr/>
              </xdr:nvCxnSpPr>
              <xdr:spPr>
                <a:xfrm>
                  <a:off x="13470988" y="1642989"/>
                  <a:ext cx="2139564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5" name="Ellipse 14">
                  <a:extLst>
                    <a:ext uri="{FF2B5EF4-FFF2-40B4-BE49-F238E27FC236}">
                      <a16:creationId xmlns:a16="http://schemas.microsoft.com/office/drawing/2014/main" id="{37967F84-8549-6761-5F6F-68E9DACD96F2}"/>
                    </a:ext>
                  </a:extLst>
                </xdr:cNvPr>
                <xdr:cNvSpPr/>
              </xdr:nvSpPr>
              <xdr:spPr>
                <a:xfrm>
                  <a:off x="13761753" y="1560340"/>
                  <a:ext cx="99070" cy="145984"/>
                </a:xfrm>
                <a:prstGeom prst="ellipse">
                  <a:avLst/>
                </a:prstGeom>
                <a:solidFill>
                  <a:schemeClr val="tx2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CH" sz="1100" kern="1200"/>
                </a:p>
              </xdr:txBody>
            </xdr:sp>
            <xdr:sp macro="" textlink="">
              <xdr:nvSpPr>
                <xdr:cNvPr id="16" name="Textfeld 15">
                  <a:extLst>
                    <a:ext uri="{FF2B5EF4-FFF2-40B4-BE49-F238E27FC236}">
                      <a16:creationId xmlns:a16="http://schemas.microsoft.com/office/drawing/2014/main" id="{D7EE6555-1676-9029-5686-0AF0F0CC3B71}"/>
                    </a:ext>
                  </a:extLst>
                </xdr:cNvPr>
                <xdr:cNvSpPr txBox="1"/>
              </xdr:nvSpPr>
              <xdr:spPr>
                <a:xfrm>
                  <a:off x="14952724" y="1266874"/>
                  <a:ext cx="549930" cy="30245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indent="0"/>
                  <a:r>
                    <a:rPr lang="de-CH" sz="1100" b="1" kern="120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rPr>
                    <a:t>3/4</a:t>
                  </a:r>
                </a:p>
              </xdr:txBody>
            </xdr:sp>
            <xdr:sp macro="" textlink="">
              <xdr:nvSpPr>
                <xdr:cNvPr id="17" name="Textfeld 16">
                  <a:extLst>
                    <a:ext uri="{FF2B5EF4-FFF2-40B4-BE49-F238E27FC236}">
                      <a16:creationId xmlns:a16="http://schemas.microsoft.com/office/drawing/2014/main" id="{D50988EA-E38B-0D4F-E85A-819383F495F5}"/>
                    </a:ext>
                  </a:extLst>
                </xdr:cNvPr>
                <xdr:cNvSpPr txBox="1"/>
              </xdr:nvSpPr>
              <xdr:spPr>
                <a:xfrm>
                  <a:off x="13091893" y="1488904"/>
                  <a:ext cx="389645" cy="29410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de-CH" sz="1100" kern="120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rPr>
                    <a:t>0%</a:t>
                  </a:r>
                </a:p>
              </xdr:txBody>
            </xdr:sp>
            <xdr:sp macro="" textlink="">
              <xdr:nvSpPr>
                <xdr:cNvPr id="18" name="Textfeld 17">
                  <a:extLst>
                    <a:ext uri="{FF2B5EF4-FFF2-40B4-BE49-F238E27FC236}">
                      <a16:creationId xmlns:a16="http://schemas.microsoft.com/office/drawing/2014/main" id="{59A46B07-2AD9-BA61-9516-47195B53FF8B}"/>
                    </a:ext>
                  </a:extLst>
                </xdr:cNvPr>
                <xdr:cNvSpPr txBox="1"/>
              </xdr:nvSpPr>
              <xdr:spPr>
                <a:xfrm>
                  <a:off x="15661845" y="1490369"/>
                  <a:ext cx="741483" cy="29410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de-CH" sz="1100" kern="120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rPr>
                    <a:t>100%</a:t>
                  </a:r>
                </a:p>
              </xdr:txBody>
            </xdr:sp>
            <xdr:sp macro="" textlink="">
              <xdr:nvSpPr>
                <xdr:cNvPr id="19" name="Textfeld 18">
                  <a:extLst>
                    <a:ext uri="{FF2B5EF4-FFF2-40B4-BE49-F238E27FC236}">
                      <a16:creationId xmlns:a16="http://schemas.microsoft.com/office/drawing/2014/main" id="{4CA784BD-B3E0-98A7-C1B3-F3F4B29888E5}"/>
                    </a:ext>
                  </a:extLst>
                </xdr:cNvPr>
                <xdr:cNvSpPr txBox="1"/>
              </xdr:nvSpPr>
              <xdr:spPr>
                <a:xfrm>
                  <a:off x="13659690" y="1253291"/>
                  <a:ext cx="463170" cy="30245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de-CH" sz="1100" kern="1200">
                      <a:solidFill>
                        <a:schemeClr val="accent1"/>
                      </a:solidFill>
                    </a:rPr>
                    <a:t>10%</a:t>
                  </a:r>
                </a:p>
              </xdr:txBody>
            </xdr:sp>
            <xdr:cxnSp macro="">
              <xdr:nvCxnSpPr>
                <xdr:cNvPr id="20" name="Gerader Verbinder 19">
                  <a:extLst>
                    <a:ext uri="{FF2B5EF4-FFF2-40B4-BE49-F238E27FC236}">
                      <a16:creationId xmlns:a16="http://schemas.microsoft.com/office/drawing/2014/main" id="{6B912948-201E-35D5-F9A4-ADCBD1669F5D}"/>
                    </a:ext>
                  </a:extLst>
                </xdr:cNvPr>
                <xdr:cNvCxnSpPr/>
              </xdr:nvCxnSpPr>
              <xdr:spPr>
                <a:xfrm>
                  <a:off x="15088573" y="1527916"/>
                  <a:ext cx="0" cy="199636"/>
                </a:xfrm>
                <a:prstGeom prst="line">
                  <a:avLst/>
                </a:prstGeom>
                <a:ln w="28575">
                  <a:solidFill>
                    <a:schemeClr val="bg1">
                      <a:lumMod val="50000"/>
                    </a:schemeClr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</xdr:grpSp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662F9F02-8077-7416-D18B-F6A5CA737AFA}"/>
              </a:ext>
            </a:extLst>
          </xdr:cNvPr>
          <xdr:cNvSpPr txBox="1"/>
        </xdr:nvSpPr>
        <xdr:spPr>
          <a:xfrm>
            <a:off x="10620664" y="704248"/>
            <a:ext cx="2001538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CH" sz="1600" b="1" u="none" kern="1200"/>
              <a:t>Portfolio Cockpit</a:t>
            </a:r>
          </a:p>
        </xdr:txBody>
      </xdr:sp>
    </xdr:grpSp>
    <xdr:clientData/>
  </xdr:twoCellAnchor>
  <xdr:twoCellAnchor>
    <xdr:from>
      <xdr:col>0</xdr:col>
      <xdr:colOff>243840</xdr:colOff>
      <xdr:row>17</xdr:row>
      <xdr:rowOff>160020</xdr:rowOff>
    </xdr:from>
    <xdr:to>
      <xdr:col>8</xdr:col>
      <xdr:colOff>451024</xdr:colOff>
      <xdr:row>46</xdr:row>
      <xdr:rowOff>154501</xdr:rowOff>
    </xdr:to>
    <xdr:grpSp>
      <xdr:nvGrpSpPr>
        <xdr:cNvPr id="54" name="Gruppieren 53">
          <a:extLst>
            <a:ext uri="{FF2B5EF4-FFF2-40B4-BE49-F238E27FC236}">
              <a16:creationId xmlns:a16="http://schemas.microsoft.com/office/drawing/2014/main" id="{57B719D2-51D9-46C9-8CCE-EB494B3D7935}"/>
            </a:ext>
          </a:extLst>
        </xdr:cNvPr>
        <xdr:cNvGrpSpPr/>
      </xdr:nvGrpSpPr>
      <xdr:grpSpPr>
        <a:xfrm>
          <a:off x="243840" y="3139440"/>
          <a:ext cx="7034704" cy="5077021"/>
          <a:chOff x="10648179" y="3736180"/>
          <a:chExt cx="7034704" cy="5077021"/>
        </a:xfrm>
      </xdr:grpSpPr>
      <xdr:sp macro="" textlink="">
        <xdr:nvSpPr>
          <xdr:cNvPr id="55" name="Rechteck 54">
            <a:extLst>
              <a:ext uri="{FF2B5EF4-FFF2-40B4-BE49-F238E27FC236}">
                <a16:creationId xmlns:a16="http://schemas.microsoft.com/office/drawing/2014/main" id="{604F6458-B60B-B0AB-EDD7-E9DCFE96BBFF}"/>
              </a:ext>
            </a:extLst>
          </xdr:cNvPr>
          <xdr:cNvSpPr/>
        </xdr:nvSpPr>
        <xdr:spPr>
          <a:xfrm>
            <a:off x="10669248" y="4178449"/>
            <a:ext cx="7013635" cy="4634752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 kern="1200"/>
          </a:p>
        </xdr:txBody>
      </xdr:sp>
      <xdr:graphicFrame macro="">
        <xdr:nvGraphicFramePr>
          <xdr:cNvPr id="56" name="Diagramm 55">
            <a:extLst>
              <a:ext uri="{FF2B5EF4-FFF2-40B4-BE49-F238E27FC236}">
                <a16:creationId xmlns:a16="http://schemas.microsoft.com/office/drawing/2014/main" id="{501663B6-FD7F-D501-5902-C9CC63013B1D}"/>
              </a:ext>
            </a:extLst>
          </xdr:cNvPr>
          <xdr:cNvGraphicFramePr>
            <a:graphicFrameLocks/>
          </xdr:cNvGraphicFramePr>
        </xdr:nvGraphicFramePr>
        <xdr:xfrm>
          <a:off x="10771091" y="4330541"/>
          <a:ext cx="6705602" cy="43455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57" name="Textfeld 56">
            <a:extLst>
              <a:ext uri="{FF2B5EF4-FFF2-40B4-BE49-F238E27FC236}">
                <a16:creationId xmlns:a16="http://schemas.microsoft.com/office/drawing/2014/main" id="{5B47577C-3286-F0C7-8228-19ACB3BFED0C}"/>
              </a:ext>
            </a:extLst>
          </xdr:cNvPr>
          <xdr:cNvSpPr txBox="1"/>
        </xdr:nvSpPr>
        <xdr:spPr>
          <a:xfrm>
            <a:off x="10648179" y="3736180"/>
            <a:ext cx="2001538" cy="3048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CH" sz="1600" b="1" u="none" kern="1200"/>
              <a:t>Performance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AXAColors">
      <a:dk1>
        <a:sysClr val="windowText" lastClr="000000"/>
      </a:dk1>
      <a:lt1>
        <a:sysClr val="window" lastClr="FFFFFF"/>
      </a:lt1>
      <a:dk2>
        <a:srgbClr val="103184"/>
      </a:dk2>
      <a:lt2>
        <a:srgbClr val="FFFFFF"/>
      </a:lt2>
      <a:accent1>
        <a:srgbClr val="103184"/>
      </a:accent1>
      <a:accent2>
        <a:srgbClr val="4B91CD"/>
      </a:accent2>
      <a:accent3>
        <a:srgbClr val="B69049"/>
      </a:accent3>
      <a:accent4>
        <a:srgbClr val="004563"/>
      </a:accent4>
      <a:accent5>
        <a:srgbClr val="7FA2B1"/>
      </a:accent5>
      <a:accent6>
        <a:srgbClr val="FF1821"/>
      </a:accent6>
      <a:hlink>
        <a:srgbClr val="4B91CD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A4FE-A95D-441F-B9C3-D2A9E923EFE5}">
  <dimension ref="A1:AR355"/>
  <sheetViews>
    <sheetView tabSelected="1" topLeftCell="AE1" workbookViewId="0">
      <selection activeCell="AH2" sqref="AH2"/>
    </sheetView>
  </sheetViews>
  <sheetFormatPr baseColWidth="10" defaultColWidth="11" defaultRowHeight="13.2" x14ac:dyDescent="0.25"/>
  <cols>
    <col min="1" max="1" width="16" style="11" customWidth="1"/>
    <col min="2" max="10" width="10.8984375" style="23" customWidth="1"/>
    <col min="11" max="11" width="10.8984375" style="9" customWidth="1"/>
    <col min="12" max="12" width="10.8984375" style="10" customWidth="1"/>
    <col min="13" max="13" width="10.8984375" style="26" customWidth="1"/>
    <col min="14" max="21" width="10.8984375" style="13" customWidth="1"/>
    <col min="22" max="22" width="10.8984375" style="36" customWidth="1"/>
    <col min="23" max="31" width="10.8984375" style="10" customWidth="1"/>
    <col min="32" max="32" width="10.8984375" style="15" customWidth="1"/>
    <col min="33" max="33" width="10.8984375" style="43" customWidth="1"/>
    <col min="34" max="42" width="10.8984375" style="38" customWidth="1"/>
    <col min="43" max="43" width="10.8984375" style="39" customWidth="1"/>
    <col min="44" max="44" width="11" style="28"/>
    <col min="45" max="16384" width="11" style="10"/>
  </cols>
  <sheetData>
    <row r="1" spans="1:44" s="7" customFormat="1" x14ac:dyDescent="0.25">
      <c r="A1" s="6" t="s">
        <v>1</v>
      </c>
      <c r="B1" s="21" t="s">
        <v>2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19" t="s">
        <v>12</v>
      </c>
      <c r="L1" s="25" t="s">
        <v>13</v>
      </c>
      <c r="M1" s="31" t="s">
        <v>2</v>
      </c>
      <c r="N1" s="32" t="s">
        <v>4</v>
      </c>
      <c r="O1" s="32" t="s">
        <v>5</v>
      </c>
      <c r="P1" s="32" t="s">
        <v>6</v>
      </c>
      <c r="Q1" s="32" t="s">
        <v>7</v>
      </c>
      <c r="R1" s="32" t="s">
        <v>8</v>
      </c>
      <c r="S1" s="32" t="s">
        <v>9</v>
      </c>
      <c r="T1" s="32" t="s">
        <v>10</v>
      </c>
      <c r="U1" s="33" t="s">
        <v>11</v>
      </c>
      <c r="V1" s="34" t="s">
        <v>14</v>
      </c>
      <c r="W1" s="17" t="s">
        <v>2</v>
      </c>
      <c r="X1" s="17" t="s">
        <v>4</v>
      </c>
      <c r="Y1" s="17" t="s">
        <v>5</v>
      </c>
      <c r="Z1" s="17" t="s">
        <v>6</v>
      </c>
      <c r="AA1" s="17" t="s">
        <v>7</v>
      </c>
      <c r="AB1" s="17" t="s">
        <v>8</v>
      </c>
      <c r="AC1" s="17" t="s">
        <v>9</v>
      </c>
      <c r="AD1" s="17" t="s">
        <v>10</v>
      </c>
      <c r="AE1" s="17" t="s">
        <v>11</v>
      </c>
      <c r="AF1" s="29" t="s">
        <v>15</v>
      </c>
      <c r="AG1" s="42" t="s">
        <v>16</v>
      </c>
      <c r="AH1" s="16" t="s">
        <v>2</v>
      </c>
      <c r="AI1" s="16" t="s">
        <v>4</v>
      </c>
      <c r="AJ1" s="16" t="s">
        <v>5</v>
      </c>
      <c r="AK1" s="16" t="s">
        <v>6</v>
      </c>
      <c r="AL1" s="16" t="s">
        <v>7</v>
      </c>
      <c r="AM1" s="16" t="s">
        <v>8</v>
      </c>
      <c r="AN1" s="16" t="s">
        <v>9</v>
      </c>
      <c r="AO1" s="16" t="s">
        <v>10</v>
      </c>
      <c r="AP1" s="16" t="s">
        <v>11</v>
      </c>
      <c r="AQ1" s="18" t="s">
        <v>17</v>
      </c>
      <c r="AR1" s="30"/>
    </row>
    <row r="2" spans="1:44" s="15" customFormat="1" x14ac:dyDescent="0.25">
      <c r="A2" s="56">
        <v>46022</v>
      </c>
      <c r="B2" s="57">
        <v>115.3124</v>
      </c>
      <c r="C2" s="57">
        <v>138.4</v>
      </c>
      <c r="D2" s="57">
        <v>160.47051999999999</v>
      </c>
      <c r="E2" s="57">
        <v>128.45484099999999</v>
      </c>
      <c r="F2" s="57">
        <v>18219.490000000002</v>
      </c>
      <c r="G2" s="57">
        <v>351.24</v>
      </c>
      <c r="H2" s="57">
        <v>2604</v>
      </c>
      <c r="I2" s="57">
        <v>601.29999999999995</v>
      </c>
      <c r="J2" s="57">
        <v>389.35</v>
      </c>
      <c r="K2" s="9" t="str">
        <f>IF(OR(ROW()=2,MONTH(A3)&lt;&gt;MONTH(A2)),"✔","")</f>
        <v>✔</v>
      </c>
      <c r="L2" s="59">
        <v>2</v>
      </c>
      <c r="M2" s="27">
        <f t="shared" ref="M2:U2" si="0">INDEX(B:B,$L2)</f>
        <v>115.3124</v>
      </c>
      <c r="N2" s="14">
        <f t="shared" si="0"/>
        <v>138.4</v>
      </c>
      <c r="O2" s="14">
        <f t="shared" si="0"/>
        <v>160.47051999999999</v>
      </c>
      <c r="P2" s="14">
        <f t="shared" si="0"/>
        <v>128.45484099999999</v>
      </c>
      <c r="Q2" s="14">
        <f t="shared" si="0"/>
        <v>18219.490000000002</v>
      </c>
      <c r="R2" s="14">
        <f t="shared" si="0"/>
        <v>351.24</v>
      </c>
      <c r="S2" s="14">
        <f t="shared" si="0"/>
        <v>2604</v>
      </c>
      <c r="T2" s="14">
        <f t="shared" si="0"/>
        <v>601.29999999999995</v>
      </c>
      <c r="U2" s="14">
        <f t="shared" si="0"/>
        <v>389.35</v>
      </c>
      <c r="V2" s="37">
        <v>100</v>
      </c>
      <c r="W2" s="13">
        <f>Weights!$B$9*Index!B2/Index!M2</f>
        <v>0.03</v>
      </c>
      <c r="X2" s="13">
        <f>Weights!$B$10*Index!C2/Index!N2</f>
        <v>0.25</v>
      </c>
      <c r="Y2" s="13">
        <f>Weights!$B$11*Index!D2/Index!O2</f>
        <v>7.0000000000000007E-2</v>
      </c>
      <c r="Z2" s="13">
        <f>Weights!$B$12*Index!E2/Index!P2</f>
        <v>0.02</v>
      </c>
      <c r="AA2" s="13">
        <f>Weights!$B$13*Index!F2/Index!Q2</f>
        <v>0.13</v>
      </c>
      <c r="AB2" s="13">
        <f>Weights!$B$14*Index!G2/Index!R2</f>
        <v>0.2</v>
      </c>
      <c r="AC2" s="13">
        <f>Weights!$B$15*Index!H2/Index!S2</f>
        <v>5.000000000000001E-2</v>
      </c>
      <c r="AD2" s="13">
        <f>Weights!$B$16*Index!I2/Index!T2</f>
        <v>0</v>
      </c>
      <c r="AE2" s="13">
        <f>Weights!$B$17*Index!J2/Index!U2</f>
        <v>0.25</v>
      </c>
      <c r="AF2" s="20">
        <f>V2*SUM(W2:AE2)</f>
        <v>100</v>
      </c>
      <c r="AG2" s="44">
        <v>100</v>
      </c>
      <c r="AH2" s="12">
        <f>Weights!$E$9*Index!B2/M2</f>
        <v>1.8243243243243244E-2</v>
      </c>
      <c r="AI2" s="12">
        <f>Weights!$E$10*Index!C2/N2</f>
        <v>2.0675675675675676E-2</v>
      </c>
      <c r="AJ2" s="12">
        <f>Weights!$E$11*Index!D2/O2</f>
        <v>0</v>
      </c>
      <c r="AK2" s="12">
        <f>Weights!$E$12*Index!E2/P2</f>
        <v>0.1860810810810811</v>
      </c>
      <c r="AL2" s="12">
        <f>Weights!$E$13*Index!F2/Q2</f>
        <v>0.31499999999999995</v>
      </c>
      <c r="AM2" s="12">
        <f>Weights!$E$14*Index!G2/R2</f>
        <v>0</v>
      </c>
      <c r="AN2" s="12">
        <f>Weights!$E$15*Index!H2/S2</f>
        <v>0.20999999999999996</v>
      </c>
      <c r="AO2" s="12">
        <f>Weights!$E$16*Index!I2/T2</f>
        <v>0</v>
      </c>
      <c r="AP2" s="12">
        <f>Weights!$E$17*Index!J2/U2</f>
        <v>0.25</v>
      </c>
      <c r="AQ2" s="45">
        <f>AG2*SUM(AH2:AP2)</f>
        <v>100</v>
      </c>
      <c r="AR2" s="58"/>
    </row>
    <row r="3" spans="1:44" x14ac:dyDescent="0.25">
      <c r="A3" s="8">
        <v>46023</v>
      </c>
      <c r="B3" s="22">
        <v>115.3124</v>
      </c>
      <c r="C3" s="22">
        <v>138.4</v>
      </c>
      <c r="D3" s="22">
        <v>160.47051999999999</v>
      </c>
      <c r="E3" s="22">
        <v>128.45484099999999</v>
      </c>
      <c r="F3" s="22">
        <v>18219.490000000002</v>
      </c>
      <c r="G3" s="22">
        <v>351.19</v>
      </c>
      <c r="H3" s="22">
        <v>2604.12</v>
      </c>
      <c r="I3" s="22">
        <v>601.29999999999995</v>
      </c>
      <c r="J3" s="22">
        <v>389.35</v>
      </c>
      <c r="K3" s="9" t="str">
        <f>IF(OR(ROW()=2,MONTH(A4)&lt;&gt;MONTH(A3)),"✔","")</f>
        <v/>
      </c>
      <c r="L3" s="10">
        <f t="shared" ref="L3:L27" si="1">IF(K2="✔",ROW(K2),L2)</f>
        <v>2</v>
      </c>
      <c r="M3" s="27">
        <f t="shared" ref="M3:M34" si="2">INDEX(B:B,L3)</f>
        <v>115.3124</v>
      </c>
      <c r="N3" s="14">
        <f t="shared" ref="N3:N34" si="3">INDEX(C:C,$L3)</f>
        <v>138.4</v>
      </c>
      <c r="O3" s="14">
        <f t="shared" ref="O3:O34" si="4">INDEX(D:D,$L3)</f>
        <v>160.47051999999999</v>
      </c>
      <c r="P3" s="14">
        <f t="shared" ref="P3:P34" si="5">INDEX(E:E,$L3)</f>
        <v>128.45484099999999</v>
      </c>
      <c r="Q3" s="14">
        <f t="shared" ref="Q3:Q34" si="6">INDEX(F:F,$L3)</f>
        <v>18219.490000000002</v>
      </c>
      <c r="R3" s="14">
        <f t="shared" ref="R3:R34" si="7">INDEX(G:G,$L3)</f>
        <v>351.24</v>
      </c>
      <c r="S3" s="14">
        <f t="shared" ref="S3:S34" si="8">INDEX(H:H,$L3)</f>
        <v>2604</v>
      </c>
      <c r="T3" s="14">
        <f t="shared" ref="T3:T34" si="9">INDEX(I:I,$L3)</f>
        <v>601.29999999999995</v>
      </c>
      <c r="U3" s="14">
        <f t="shared" ref="U3:U34" si="10">INDEX(J:J,$L3)</f>
        <v>389.35</v>
      </c>
      <c r="V3" s="36">
        <f t="shared" ref="V3:V34" si="11">INDEX(AF:AF,L3)</f>
        <v>100</v>
      </c>
      <c r="W3" s="13">
        <f>Weights!$B$9*Index!B3/Index!M3</f>
        <v>0.03</v>
      </c>
      <c r="X3" s="13">
        <f>Weights!$B$10*Index!C3/Index!N3</f>
        <v>0.25</v>
      </c>
      <c r="Y3" s="13">
        <f>Weights!$B$11*Index!D3/Index!O3</f>
        <v>7.0000000000000007E-2</v>
      </c>
      <c r="Z3" s="13">
        <f>Weights!$B$12*Index!E3/Index!P3</f>
        <v>0.02</v>
      </c>
      <c r="AA3" s="13">
        <f>Weights!$B$13*Index!F3/Index!Q3</f>
        <v>0.13</v>
      </c>
      <c r="AB3" s="13">
        <f>Weights!$B$14*Index!G3/Index!R3</f>
        <v>0.19997152943856053</v>
      </c>
      <c r="AC3" s="13">
        <f>Weights!$B$15*Index!H3/Index!S3</f>
        <v>5.0002304147465433E-2</v>
      </c>
      <c r="AD3" s="13">
        <f>Weights!$B$16*Index!I3/Index!T3</f>
        <v>0</v>
      </c>
      <c r="AE3" s="13">
        <f>Weights!$B$17*Index!J3/Index!U3</f>
        <v>0.25</v>
      </c>
      <c r="AF3" s="20">
        <f t="shared" ref="AF3:AF27" si="12">V3*SUM(W3:AE3)</f>
        <v>99.997383358602605</v>
      </c>
      <c r="AG3" s="35">
        <f t="shared" ref="AG3:AG34" si="13">INDEX(AQ:AQ,L3)</f>
        <v>100</v>
      </c>
      <c r="AH3" s="12">
        <f>Weights!$E$9*Index!B3/M3</f>
        <v>1.8243243243243244E-2</v>
      </c>
      <c r="AI3" s="12">
        <f>Weights!$E$10*Index!C3/N3</f>
        <v>2.0675675675675676E-2</v>
      </c>
      <c r="AJ3" s="12">
        <f>Weights!$E$11*Index!D3/O3</f>
        <v>0</v>
      </c>
      <c r="AK3" s="12">
        <f>Weights!$E$12*Index!E3/P3</f>
        <v>0.1860810810810811</v>
      </c>
      <c r="AL3" s="12">
        <f>Weights!$E$13*Index!F3/Q3</f>
        <v>0.31499999999999995</v>
      </c>
      <c r="AM3" s="12">
        <f>Weights!$E$14*Index!G3/R3</f>
        <v>0</v>
      </c>
      <c r="AN3" s="12">
        <f>Weights!$E$15*Index!H3/S3</f>
        <v>0.21000967741935478</v>
      </c>
      <c r="AO3" s="12">
        <f>Weights!$E$16*Index!I3/T3</f>
        <v>0</v>
      </c>
      <c r="AP3" s="12">
        <f>Weights!$E$17*Index!J3/U3</f>
        <v>0.25</v>
      </c>
      <c r="AQ3" s="45">
        <f t="shared" ref="AQ3:AQ27" si="14">AG3*SUM(AH3:AP3)</f>
        <v>100.00096774193548</v>
      </c>
    </row>
    <row r="4" spans="1:44" x14ac:dyDescent="0.25">
      <c r="A4" s="8">
        <v>46024</v>
      </c>
      <c r="B4" s="22">
        <v>115.3117</v>
      </c>
      <c r="C4" s="22">
        <v>138.4</v>
      </c>
      <c r="D4" s="22">
        <v>160.163793</v>
      </c>
      <c r="E4" s="22">
        <v>127.97515200000001</v>
      </c>
      <c r="F4" s="22">
        <v>18219.490000000002</v>
      </c>
      <c r="G4" s="22">
        <v>352.22</v>
      </c>
      <c r="H4" s="22">
        <v>2606.5100000000002</v>
      </c>
      <c r="I4" s="22">
        <v>601.29999999999995</v>
      </c>
      <c r="J4" s="22">
        <v>389.35</v>
      </c>
      <c r="K4" s="9" t="str">
        <f t="shared" ref="K4:K67" si="15">IF(OR(ROW()=2,MONTH(A5)&lt;&gt;MONTH(A4)),"✔","")</f>
        <v/>
      </c>
      <c r="L4" s="10">
        <f t="shared" si="1"/>
        <v>2</v>
      </c>
      <c r="M4" s="27">
        <f t="shared" si="2"/>
        <v>115.3124</v>
      </c>
      <c r="N4" s="14">
        <f t="shared" si="3"/>
        <v>138.4</v>
      </c>
      <c r="O4" s="14">
        <f t="shared" si="4"/>
        <v>160.47051999999999</v>
      </c>
      <c r="P4" s="14">
        <f t="shared" si="5"/>
        <v>128.45484099999999</v>
      </c>
      <c r="Q4" s="14">
        <f t="shared" si="6"/>
        <v>18219.490000000002</v>
      </c>
      <c r="R4" s="14">
        <f t="shared" si="7"/>
        <v>351.24</v>
      </c>
      <c r="S4" s="14">
        <f t="shared" si="8"/>
        <v>2604</v>
      </c>
      <c r="T4" s="14">
        <f t="shared" si="9"/>
        <v>601.29999999999995</v>
      </c>
      <c r="U4" s="14">
        <f t="shared" si="10"/>
        <v>389.35</v>
      </c>
      <c r="V4" s="36">
        <f t="shared" si="11"/>
        <v>100</v>
      </c>
      <c r="W4" s="13">
        <f>Weights!$B$9*Index!B4/Index!M4</f>
        <v>2.9999817886020932E-2</v>
      </c>
      <c r="X4" s="13">
        <f>Weights!$B$10*Index!C4/Index!N4</f>
        <v>0.25</v>
      </c>
      <c r="Y4" s="13">
        <f>Weights!$B$11*Index!D4/Index!O4</f>
        <v>6.9866200408648285E-2</v>
      </c>
      <c r="Z4" s="13">
        <f>Weights!$B$12*Index!E4/Index!P4</f>
        <v>1.9925313986414887E-2</v>
      </c>
      <c r="AA4" s="13">
        <f>Weights!$B$13*Index!F4/Index!Q4</f>
        <v>0.13</v>
      </c>
      <c r="AB4" s="13">
        <f>Weights!$B$14*Index!G4/Index!R4</f>
        <v>0.20055802300421366</v>
      </c>
      <c r="AC4" s="13">
        <f>Weights!$B$15*Index!H4/Index!S4</f>
        <v>5.0048195084485408E-2</v>
      </c>
      <c r="AD4" s="13">
        <f>Weights!$B$16*Index!I4/Index!T4</f>
        <v>0</v>
      </c>
      <c r="AE4" s="13">
        <f>Weights!$B$17*Index!J4/Index!U4</f>
        <v>0.25</v>
      </c>
      <c r="AF4" s="20">
        <f t="shared" si="12"/>
        <v>100.03975503697831</v>
      </c>
      <c r="AG4" s="35">
        <f t="shared" si="13"/>
        <v>100</v>
      </c>
      <c r="AH4" s="12">
        <f>Weights!$E$9*Index!B4/M4</f>
        <v>1.8243132498255973E-2</v>
      </c>
      <c r="AI4" s="12">
        <f>Weights!$E$10*Index!C4/N4</f>
        <v>2.0675675675675676E-2</v>
      </c>
      <c r="AJ4" s="12">
        <f>Weights!$E$11*Index!D4/O4</f>
        <v>0</v>
      </c>
      <c r="AK4" s="12">
        <f>Weights!$E$12*Index!E4/P4</f>
        <v>0.18538619837360337</v>
      </c>
      <c r="AL4" s="12">
        <f>Weights!$E$13*Index!F4/Q4</f>
        <v>0.31499999999999995</v>
      </c>
      <c r="AM4" s="12">
        <f>Weights!$E$14*Index!G4/R4</f>
        <v>0</v>
      </c>
      <c r="AN4" s="12">
        <f>Weights!$E$15*Index!H4/S4</f>
        <v>0.21020241935483869</v>
      </c>
      <c r="AO4" s="12">
        <f>Weights!$E$16*Index!I4/T4</f>
        <v>0</v>
      </c>
      <c r="AP4" s="12">
        <f>Weights!$E$17*Index!J4/U4</f>
        <v>0.25</v>
      </c>
      <c r="AQ4" s="45">
        <f t="shared" si="14"/>
        <v>99.950742590237368</v>
      </c>
    </row>
    <row r="5" spans="1:44" x14ac:dyDescent="0.25">
      <c r="A5" s="8">
        <v>46025</v>
      </c>
      <c r="B5" s="22">
        <v>115.3117</v>
      </c>
      <c r="C5" s="22">
        <v>138.4</v>
      </c>
      <c r="D5" s="22">
        <v>160.163793</v>
      </c>
      <c r="E5" s="22">
        <v>127.97515200000001</v>
      </c>
      <c r="F5" s="22">
        <v>18219.490000000002</v>
      </c>
      <c r="G5" s="22">
        <v>352.22</v>
      </c>
      <c r="H5" s="22">
        <v>2606.5100000000002</v>
      </c>
      <c r="I5" s="22">
        <v>601.29999999999995</v>
      </c>
      <c r="J5" s="22">
        <v>389.35</v>
      </c>
      <c r="K5" s="9" t="str">
        <f t="shared" si="15"/>
        <v/>
      </c>
      <c r="L5" s="10">
        <f t="shared" si="1"/>
        <v>2</v>
      </c>
      <c r="M5" s="27">
        <f t="shared" si="2"/>
        <v>115.3124</v>
      </c>
      <c r="N5" s="14">
        <f t="shared" si="3"/>
        <v>138.4</v>
      </c>
      <c r="O5" s="14">
        <f t="shared" si="4"/>
        <v>160.47051999999999</v>
      </c>
      <c r="P5" s="14">
        <f t="shared" si="5"/>
        <v>128.45484099999999</v>
      </c>
      <c r="Q5" s="14">
        <f t="shared" si="6"/>
        <v>18219.490000000002</v>
      </c>
      <c r="R5" s="14">
        <f t="shared" si="7"/>
        <v>351.24</v>
      </c>
      <c r="S5" s="14">
        <f t="shared" si="8"/>
        <v>2604</v>
      </c>
      <c r="T5" s="14">
        <f t="shared" si="9"/>
        <v>601.29999999999995</v>
      </c>
      <c r="U5" s="14">
        <f t="shared" si="10"/>
        <v>389.35</v>
      </c>
      <c r="V5" s="36">
        <f t="shared" si="11"/>
        <v>100</v>
      </c>
      <c r="W5" s="13">
        <f>Weights!$B$9*Index!B5/Index!M5</f>
        <v>2.9999817886020932E-2</v>
      </c>
      <c r="X5" s="13">
        <f>Weights!$B$10*Index!C5/Index!N5</f>
        <v>0.25</v>
      </c>
      <c r="Y5" s="13">
        <f>Weights!$B$11*Index!D5/Index!O5</f>
        <v>6.9866200408648285E-2</v>
      </c>
      <c r="Z5" s="13">
        <f>Weights!$B$12*Index!E5/Index!P5</f>
        <v>1.9925313986414887E-2</v>
      </c>
      <c r="AA5" s="13">
        <f>Weights!$B$13*Index!F5/Index!Q5</f>
        <v>0.13</v>
      </c>
      <c r="AB5" s="13">
        <f>Weights!$B$14*Index!G5/Index!R5</f>
        <v>0.20055802300421366</v>
      </c>
      <c r="AC5" s="13">
        <f>Weights!$B$15*Index!H5/Index!S5</f>
        <v>5.0048195084485408E-2</v>
      </c>
      <c r="AD5" s="13">
        <f>Weights!$B$16*Index!I5/Index!T5</f>
        <v>0</v>
      </c>
      <c r="AE5" s="13">
        <f>Weights!$B$17*Index!J5/Index!U5</f>
        <v>0.25</v>
      </c>
      <c r="AF5" s="20">
        <f t="shared" si="12"/>
        <v>100.03975503697831</v>
      </c>
      <c r="AG5" s="35">
        <f t="shared" si="13"/>
        <v>100</v>
      </c>
      <c r="AH5" s="12">
        <f>Weights!$E$9*Index!B5/M5</f>
        <v>1.8243132498255973E-2</v>
      </c>
      <c r="AI5" s="12">
        <f>Weights!$E$10*Index!C5/N5</f>
        <v>2.0675675675675676E-2</v>
      </c>
      <c r="AJ5" s="12">
        <f>Weights!$E$11*Index!D5/O5</f>
        <v>0</v>
      </c>
      <c r="AK5" s="12">
        <f>Weights!$E$12*Index!E5/P5</f>
        <v>0.18538619837360337</v>
      </c>
      <c r="AL5" s="12">
        <f>Weights!$E$13*Index!F5/Q5</f>
        <v>0.31499999999999995</v>
      </c>
      <c r="AM5" s="12">
        <f>Weights!$E$14*Index!G5/R5</f>
        <v>0</v>
      </c>
      <c r="AN5" s="12">
        <f>Weights!$E$15*Index!H5/S5</f>
        <v>0.21020241935483869</v>
      </c>
      <c r="AO5" s="12">
        <f>Weights!$E$16*Index!I5/T5</f>
        <v>0</v>
      </c>
      <c r="AP5" s="12">
        <f>Weights!$E$17*Index!J5/U5</f>
        <v>0.25</v>
      </c>
      <c r="AQ5" s="45">
        <f t="shared" si="14"/>
        <v>99.950742590237368</v>
      </c>
    </row>
    <row r="6" spans="1:44" x14ac:dyDescent="0.25">
      <c r="A6" s="8">
        <v>46026</v>
      </c>
      <c r="B6" s="22">
        <v>115.3117</v>
      </c>
      <c r="C6" s="22">
        <v>138.4</v>
      </c>
      <c r="D6" s="22">
        <v>160.163793</v>
      </c>
      <c r="E6" s="22">
        <v>127.97515200000001</v>
      </c>
      <c r="F6" s="22">
        <v>18219.490000000002</v>
      </c>
      <c r="G6" s="22">
        <v>352.22</v>
      </c>
      <c r="H6" s="22">
        <v>2606.5100000000002</v>
      </c>
      <c r="I6" s="22">
        <v>601.29999999999995</v>
      </c>
      <c r="J6" s="22">
        <v>389.35</v>
      </c>
      <c r="K6" s="9" t="str">
        <f t="shared" si="15"/>
        <v/>
      </c>
      <c r="L6" s="10">
        <f t="shared" si="1"/>
        <v>2</v>
      </c>
      <c r="M6" s="27">
        <f t="shared" si="2"/>
        <v>115.3124</v>
      </c>
      <c r="N6" s="14">
        <f t="shared" si="3"/>
        <v>138.4</v>
      </c>
      <c r="O6" s="14">
        <f t="shared" si="4"/>
        <v>160.47051999999999</v>
      </c>
      <c r="P6" s="14">
        <f t="shared" si="5"/>
        <v>128.45484099999999</v>
      </c>
      <c r="Q6" s="14">
        <f t="shared" si="6"/>
        <v>18219.490000000002</v>
      </c>
      <c r="R6" s="14">
        <f t="shared" si="7"/>
        <v>351.24</v>
      </c>
      <c r="S6" s="14">
        <f t="shared" si="8"/>
        <v>2604</v>
      </c>
      <c r="T6" s="14">
        <f t="shared" si="9"/>
        <v>601.29999999999995</v>
      </c>
      <c r="U6" s="14">
        <f t="shared" si="10"/>
        <v>389.35</v>
      </c>
      <c r="V6" s="36">
        <f t="shared" si="11"/>
        <v>100</v>
      </c>
      <c r="W6" s="13">
        <f>Weights!$B$9*Index!B6/Index!M6</f>
        <v>2.9999817886020932E-2</v>
      </c>
      <c r="X6" s="13">
        <f>Weights!$B$10*Index!C6/Index!N6</f>
        <v>0.25</v>
      </c>
      <c r="Y6" s="13">
        <f>Weights!$B$11*Index!D6/Index!O6</f>
        <v>6.9866200408648285E-2</v>
      </c>
      <c r="Z6" s="13">
        <f>Weights!$B$12*Index!E6/Index!P6</f>
        <v>1.9925313986414887E-2</v>
      </c>
      <c r="AA6" s="13">
        <f>Weights!$B$13*Index!F6/Index!Q6</f>
        <v>0.13</v>
      </c>
      <c r="AB6" s="13">
        <f>Weights!$B$14*Index!G6/Index!R6</f>
        <v>0.20055802300421366</v>
      </c>
      <c r="AC6" s="13">
        <f>Weights!$B$15*Index!H6/Index!S6</f>
        <v>5.0048195084485408E-2</v>
      </c>
      <c r="AD6" s="13">
        <f>Weights!$B$16*Index!I6/Index!T6</f>
        <v>0</v>
      </c>
      <c r="AE6" s="13">
        <f>Weights!$B$17*Index!J6/Index!U6</f>
        <v>0.25</v>
      </c>
      <c r="AF6" s="20">
        <f t="shared" si="12"/>
        <v>100.03975503697831</v>
      </c>
      <c r="AG6" s="35">
        <f t="shared" si="13"/>
        <v>100</v>
      </c>
      <c r="AH6" s="12">
        <f>Weights!$E$9*Index!B6/M6</f>
        <v>1.8243132498255973E-2</v>
      </c>
      <c r="AI6" s="12">
        <f>Weights!$E$10*Index!C6/N6</f>
        <v>2.0675675675675676E-2</v>
      </c>
      <c r="AJ6" s="12">
        <f>Weights!$E$11*Index!D6/O6</f>
        <v>0</v>
      </c>
      <c r="AK6" s="12">
        <f>Weights!$E$12*Index!E6/P6</f>
        <v>0.18538619837360337</v>
      </c>
      <c r="AL6" s="12">
        <f>Weights!$E$13*Index!F6/Q6</f>
        <v>0.31499999999999995</v>
      </c>
      <c r="AM6" s="12">
        <f>Weights!$E$14*Index!G6/R6</f>
        <v>0</v>
      </c>
      <c r="AN6" s="12">
        <f>Weights!$E$15*Index!H6/S6</f>
        <v>0.21020241935483869</v>
      </c>
      <c r="AO6" s="12">
        <f>Weights!$E$16*Index!I6/T6</f>
        <v>0</v>
      </c>
      <c r="AP6" s="12">
        <f>Weights!$E$17*Index!J6/U6</f>
        <v>0.25</v>
      </c>
      <c r="AQ6" s="45">
        <f t="shared" si="14"/>
        <v>99.950742590237368</v>
      </c>
    </row>
    <row r="7" spans="1:44" x14ac:dyDescent="0.25">
      <c r="A7" s="8">
        <v>46027</v>
      </c>
      <c r="B7" s="22">
        <v>115.3108</v>
      </c>
      <c r="C7" s="22">
        <v>138.71</v>
      </c>
      <c r="D7" s="22">
        <v>160.351529</v>
      </c>
      <c r="E7" s="22">
        <v>128.546133</v>
      </c>
      <c r="F7" s="22">
        <v>18242.25</v>
      </c>
      <c r="G7" s="22">
        <v>355</v>
      </c>
      <c r="H7" s="22">
        <v>2636</v>
      </c>
      <c r="I7" s="22">
        <v>597.9</v>
      </c>
      <c r="J7" s="22">
        <v>389.35</v>
      </c>
      <c r="K7" s="9" t="str">
        <f t="shared" si="15"/>
        <v/>
      </c>
      <c r="L7" s="10">
        <f t="shared" si="1"/>
        <v>2</v>
      </c>
      <c r="M7" s="27">
        <f t="shared" si="2"/>
        <v>115.3124</v>
      </c>
      <c r="N7" s="14">
        <f t="shared" si="3"/>
        <v>138.4</v>
      </c>
      <c r="O7" s="14">
        <f t="shared" si="4"/>
        <v>160.47051999999999</v>
      </c>
      <c r="P7" s="14">
        <f t="shared" si="5"/>
        <v>128.45484099999999</v>
      </c>
      <c r="Q7" s="14">
        <f t="shared" si="6"/>
        <v>18219.490000000002</v>
      </c>
      <c r="R7" s="14">
        <f t="shared" si="7"/>
        <v>351.24</v>
      </c>
      <c r="S7" s="14">
        <f t="shared" si="8"/>
        <v>2604</v>
      </c>
      <c r="T7" s="14">
        <f t="shared" si="9"/>
        <v>601.29999999999995</v>
      </c>
      <c r="U7" s="14">
        <f t="shared" si="10"/>
        <v>389.35</v>
      </c>
      <c r="V7" s="36">
        <f t="shared" si="11"/>
        <v>100</v>
      </c>
      <c r="W7" s="13">
        <f>Weights!$B$9*Index!B7/Index!M7</f>
        <v>2.9999583739476414E-2</v>
      </c>
      <c r="X7" s="13">
        <f>Weights!$B$10*Index!C7/Index!N7</f>
        <v>0.25055997109826589</v>
      </c>
      <c r="Y7" s="13">
        <f>Weights!$B$11*Index!D7/Index!O7</f>
        <v>6.9948094079834738E-2</v>
      </c>
      <c r="Z7" s="13">
        <f>Weights!$B$12*Index!E7/Index!P7</f>
        <v>2.0014213866801644E-2</v>
      </c>
      <c r="AA7" s="13">
        <f>Weights!$B$13*Index!F7/Index!Q7</f>
        <v>0.1301623975204575</v>
      </c>
      <c r="AB7" s="13">
        <f>Weights!$B$14*Index!G7/Index!R7</f>
        <v>0.20214098622024826</v>
      </c>
      <c r="AC7" s="13">
        <f>Weights!$B$15*Index!H7/Index!S7</f>
        <v>5.0614439324116745E-2</v>
      </c>
      <c r="AD7" s="13">
        <f>Weights!$B$16*Index!I7/Index!T7</f>
        <v>0</v>
      </c>
      <c r="AE7" s="13">
        <f>Weights!$B$17*Index!J7/Index!U7</f>
        <v>0.25</v>
      </c>
      <c r="AF7" s="20">
        <f t="shared" si="12"/>
        <v>100.34396858492012</v>
      </c>
      <c r="AG7" s="35">
        <f t="shared" si="13"/>
        <v>100</v>
      </c>
      <c r="AH7" s="12">
        <f>Weights!$E$9*Index!B7/M7</f>
        <v>1.8242990111843767E-2</v>
      </c>
      <c r="AI7" s="12">
        <f>Weights!$E$10*Index!C7/N7</f>
        <v>2.0721986798937667E-2</v>
      </c>
      <c r="AJ7" s="12">
        <f>Weights!$E$11*Index!D7/O7</f>
        <v>0</v>
      </c>
      <c r="AK7" s="12">
        <f>Weights!$E$12*Index!E7/P7</f>
        <v>0.18621332766612073</v>
      </c>
      <c r="AL7" s="12">
        <f>Weights!$E$13*Index!F7/Q7</f>
        <v>0.3153935016841854</v>
      </c>
      <c r="AM7" s="12">
        <f>Weights!$E$14*Index!G7/R7</f>
        <v>0</v>
      </c>
      <c r="AN7" s="12">
        <f>Weights!$E$15*Index!H7/S7</f>
        <v>0.2125806451612903</v>
      </c>
      <c r="AO7" s="12">
        <f>Weights!$E$16*Index!I7/T7</f>
        <v>0</v>
      </c>
      <c r="AP7" s="12">
        <f>Weights!$E$17*Index!J7/U7</f>
        <v>0.25</v>
      </c>
      <c r="AQ7" s="45">
        <f t="shared" si="14"/>
        <v>100.31524514223777</v>
      </c>
    </row>
    <row r="8" spans="1:44" x14ac:dyDescent="0.25">
      <c r="A8" s="8">
        <v>46028</v>
      </c>
      <c r="B8" s="22">
        <v>115.3104</v>
      </c>
      <c r="C8" s="22">
        <v>138.76</v>
      </c>
      <c r="D8" s="22">
        <v>160.361377</v>
      </c>
      <c r="E8" s="22">
        <v>128.78163499999999</v>
      </c>
      <c r="F8" s="22">
        <v>18352.400000000001</v>
      </c>
      <c r="G8" s="22">
        <v>357.3</v>
      </c>
      <c r="H8" s="22">
        <v>2658.04</v>
      </c>
      <c r="I8" s="22">
        <v>603.23</v>
      </c>
      <c r="J8" s="22">
        <v>389.35</v>
      </c>
      <c r="K8" s="9" t="str">
        <f t="shared" si="15"/>
        <v/>
      </c>
      <c r="L8" s="10">
        <f t="shared" si="1"/>
        <v>2</v>
      </c>
      <c r="M8" s="27">
        <f t="shared" si="2"/>
        <v>115.3124</v>
      </c>
      <c r="N8" s="14">
        <f t="shared" si="3"/>
        <v>138.4</v>
      </c>
      <c r="O8" s="14">
        <f t="shared" si="4"/>
        <v>160.47051999999999</v>
      </c>
      <c r="P8" s="14">
        <f t="shared" si="5"/>
        <v>128.45484099999999</v>
      </c>
      <c r="Q8" s="14">
        <f t="shared" si="6"/>
        <v>18219.490000000002</v>
      </c>
      <c r="R8" s="14">
        <f t="shared" si="7"/>
        <v>351.24</v>
      </c>
      <c r="S8" s="14">
        <f t="shared" si="8"/>
        <v>2604</v>
      </c>
      <c r="T8" s="14">
        <f t="shared" si="9"/>
        <v>601.29999999999995</v>
      </c>
      <c r="U8" s="14">
        <f t="shared" si="10"/>
        <v>389.35</v>
      </c>
      <c r="V8" s="36">
        <f t="shared" si="11"/>
        <v>100</v>
      </c>
      <c r="W8" s="13">
        <f>Weights!$B$9*Index!B8/Index!M8</f>
        <v>2.9999479674345516E-2</v>
      </c>
      <c r="X8" s="13">
        <f>Weights!$B$10*Index!C8/Index!N8</f>
        <v>0.25065028901734099</v>
      </c>
      <c r="Y8" s="13">
        <f>Weights!$B$11*Index!D8/Index!O8</f>
        <v>6.9952389946764074E-2</v>
      </c>
      <c r="Z8" s="13">
        <f>Weights!$B$12*Index!E8/Index!P8</f>
        <v>2.0050880760500104E-2</v>
      </c>
      <c r="AA8" s="13">
        <f>Weights!$B$13*Index!F8/Index!Q8</f>
        <v>0.13094834158365576</v>
      </c>
      <c r="AB8" s="13">
        <f>Weights!$B$14*Index!G8/Index!R8</f>
        <v>0.20345063204646396</v>
      </c>
      <c r="AC8" s="13">
        <f>Weights!$B$15*Index!H8/Index!S8</f>
        <v>5.1037634408602157E-2</v>
      </c>
      <c r="AD8" s="13">
        <f>Weights!$B$16*Index!I8/Index!T8</f>
        <v>0</v>
      </c>
      <c r="AE8" s="13">
        <f>Weights!$B$17*Index!J8/Index!U8</f>
        <v>0.25</v>
      </c>
      <c r="AF8" s="20">
        <f t="shared" si="12"/>
        <v>100.60896474376726</v>
      </c>
      <c r="AG8" s="35">
        <f t="shared" si="13"/>
        <v>100</v>
      </c>
      <c r="AH8" s="12">
        <f>Weights!$E$9*Index!B8/M8</f>
        <v>1.8242926828993897E-2</v>
      </c>
      <c r="AI8" s="12">
        <f>Weights!$E$10*Index!C8/N8</f>
        <v>2.0729456334947664E-2</v>
      </c>
      <c r="AJ8" s="12">
        <f>Weights!$E$11*Index!D8/O8</f>
        <v>0</v>
      </c>
      <c r="AK8" s="12">
        <f>Weights!$E$12*Index!E8/P8</f>
        <v>0.18655447842708545</v>
      </c>
      <c r="AL8" s="12">
        <f>Weights!$E$13*Index!F8/Q8</f>
        <v>0.31729790460655038</v>
      </c>
      <c r="AM8" s="12">
        <f>Weights!$E$14*Index!G8/R8</f>
        <v>0</v>
      </c>
      <c r="AN8" s="12">
        <f>Weights!$E$15*Index!H8/S8</f>
        <v>0.21435806451612899</v>
      </c>
      <c r="AO8" s="12">
        <f>Weights!$E$16*Index!I8/T8</f>
        <v>0</v>
      </c>
      <c r="AP8" s="12">
        <f>Weights!$E$17*Index!J8/U8</f>
        <v>0.25</v>
      </c>
      <c r="AQ8" s="45">
        <f t="shared" si="14"/>
        <v>100.71828307137064</v>
      </c>
    </row>
    <row r="9" spans="1:44" x14ac:dyDescent="0.25">
      <c r="A9" s="8">
        <v>46029</v>
      </c>
      <c r="B9" s="22">
        <v>115.31010000000001</v>
      </c>
      <c r="C9" s="22">
        <v>138.76</v>
      </c>
      <c r="D9" s="22">
        <v>160.56083799999999</v>
      </c>
      <c r="E9" s="22">
        <v>129.177808</v>
      </c>
      <c r="F9" s="22">
        <v>18384.45</v>
      </c>
      <c r="G9" s="22">
        <v>356.01</v>
      </c>
      <c r="H9" s="22">
        <v>2654.38</v>
      </c>
      <c r="I9" s="22">
        <v>605.01</v>
      </c>
      <c r="J9" s="22">
        <v>389.35</v>
      </c>
      <c r="K9" s="9" t="str">
        <f t="shared" si="15"/>
        <v/>
      </c>
      <c r="L9" s="10">
        <f t="shared" si="1"/>
        <v>2</v>
      </c>
      <c r="M9" s="27">
        <f t="shared" si="2"/>
        <v>115.3124</v>
      </c>
      <c r="N9" s="14">
        <f t="shared" si="3"/>
        <v>138.4</v>
      </c>
      <c r="O9" s="14">
        <f t="shared" si="4"/>
        <v>160.47051999999999</v>
      </c>
      <c r="P9" s="14">
        <f t="shared" si="5"/>
        <v>128.45484099999999</v>
      </c>
      <c r="Q9" s="14">
        <f t="shared" si="6"/>
        <v>18219.490000000002</v>
      </c>
      <c r="R9" s="14">
        <f t="shared" si="7"/>
        <v>351.24</v>
      </c>
      <c r="S9" s="14">
        <f t="shared" si="8"/>
        <v>2604</v>
      </c>
      <c r="T9" s="14">
        <f t="shared" si="9"/>
        <v>601.29999999999995</v>
      </c>
      <c r="U9" s="14">
        <f t="shared" si="10"/>
        <v>389.35</v>
      </c>
      <c r="V9" s="36">
        <f t="shared" si="11"/>
        <v>100</v>
      </c>
      <c r="W9" s="13">
        <f>Weights!$B$9*Index!B9/Index!M9</f>
        <v>2.9999401625497347E-2</v>
      </c>
      <c r="X9" s="13">
        <f>Weights!$B$10*Index!C9/Index!N9</f>
        <v>0.25065028901734099</v>
      </c>
      <c r="Y9" s="13">
        <f>Weights!$B$11*Index!D9/Index!O9</f>
        <v>7.0039398264553521E-2</v>
      </c>
      <c r="Z9" s="13">
        <f>Weights!$B$12*Index!E9/Index!P9</f>
        <v>2.0112563605134977E-2</v>
      </c>
      <c r="AA9" s="13">
        <f>Weights!$B$13*Index!F9/Index!Q9</f>
        <v>0.13117702526250735</v>
      </c>
      <c r="AB9" s="13">
        <f>Weights!$B$14*Index!G9/Index!R9</f>
        <v>0.20271609156132558</v>
      </c>
      <c r="AC9" s="13">
        <f>Weights!$B$15*Index!H9/Index!S9</f>
        <v>5.0967357910906307E-2</v>
      </c>
      <c r="AD9" s="13">
        <f>Weights!$B$16*Index!I9/Index!T9</f>
        <v>0</v>
      </c>
      <c r="AE9" s="13">
        <f>Weights!$B$17*Index!J9/Index!U9</f>
        <v>0.25</v>
      </c>
      <c r="AF9" s="20">
        <f t="shared" si="12"/>
        <v>100.56621272472661</v>
      </c>
      <c r="AG9" s="35">
        <f t="shared" si="13"/>
        <v>100</v>
      </c>
      <c r="AH9" s="12">
        <f>Weights!$E$9*Index!B9/M9</f>
        <v>1.8242879366856497E-2</v>
      </c>
      <c r="AI9" s="12">
        <f>Weights!$E$10*Index!C9/N9</f>
        <v>2.0729456334947664E-2</v>
      </c>
      <c r="AJ9" s="12">
        <f>Weights!$E$11*Index!D9/O9</f>
        <v>0</v>
      </c>
      <c r="AK9" s="12">
        <f>Weights!$E$12*Index!E9/P9</f>
        <v>0.18712837894777612</v>
      </c>
      <c r="AL9" s="12">
        <f>Weights!$E$13*Index!F9/Q9</f>
        <v>0.31785202275146002</v>
      </c>
      <c r="AM9" s="12">
        <f>Weights!$E$14*Index!G9/R9</f>
        <v>0</v>
      </c>
      <c r="AN9" s="12">
        <f>Weights!$E$15*Index!H9/S9</f>
        <v>0.2140629032258064</v>
      </c>
      <c r="AO9" s="12">
        <f>Weights!$E$16*Index!I9/T9</f>
        <v>0</v>
      </c>
      <c r="AP9" s="12">
        <f>Weights!$E$17*Index!J9/U9</f>
        <v>0.25</v>
      </c>
      <c r="AQ9" s="45">
        <f t="shared" si="14"/>
        <v>100.80156406268468</v>
      </c>
    </row>
    <row r="10" spans="1:44" x14ac:dyDescent="0.25">
      <c r="A10" s="8">
        <v>46030</v>
      </c>
      <c r="B10" s="22">
        <v>115.3098</v>
      </c>
      <c r="C10" s="22">
        <v>138.59</v>
      </c>
      <c r="D10" s="22">
        <v>160.424487</v>
      </c>
      <c r="E10" s="22">
        <v>129.28283500000001</v>
      </c>
      <c r="F10" s="22">
        <v>18407.2</v>
      </c>
      <c r="G10" s="22">
        <v>355.71</v>
      </c>
      <c r="H10" s="22">
        <v>2657.21</v>
      </c>
      <c r="I10" s="22">
        <v>600.64</v>
      </c>
      <c r="J10" s="22">
        <v>389.35</v>
      </c>
      <c r="K10" s="9" t="str">
        <f t="shared" si="15"/>
        <v/>
      </c>
      <c r="L10" s="10">
        <f t="shared" si="1"/>
        <v>2</v>
      </c>
      <c r="M10" s="27">
        <f t="shared" si="2"/>
        <v>115.3124</v>
      </c>
      <c r="N10" s="14">
        <f t="shared" si="3"/>
        <v>138.4</v>
      </c>
      <c r="O10" s="14">
        <f t="shared" si="4"/>
        <v>160.47051999999999</v>
      </c>
      <c r="P10" s="14">
        <f t="shared" si="5"/>
        <v>128.45484099999999</v>
      </c>
      <c r="Q10" s="14">
        <f t="shared" si="6"/>
        <v>18219.490000000002</v>
      </c>
      <c r="R10" s="14">
        <f t="shared" si="7"/>
        <v>351.24</v>
      </c>
      <c r="S10" s="14">
        <f t="shared" si="8"/>
        <v>2604</v>
      </c>
      <c r="T10" s="14">
        <f t="shared" si="9"/>
        <v>601.29999999999995</v>
      </c>
      <c r="U10" s="14">
        <f t="shared" si="10"/>
        <v>389.35</v>
      </c>
      <c r="V10" s="36">
        <f t="shared" si="11"/>
        <v>100</v>
      </c>
      <c r="W10" s="13">
        <f>Weights!$B$9*Index!B10/Index!M10</f>
        <v>2.9999323576649171E-2</v>
      </c>
      <c r="X10" s="13">
        <f>Weights!$B$10*Index!C10/Index!N10</f>
        <v>0.25034320809248556</v>
      </c>
      <c r="Y10" s="13">
        <f>Weights!$B$11*Index!D10/Index!O10</f>
        <v>6.997991961389545E-2</v>
      </c>
      <c r="Z10" s="13">
        <f>Weights!$B$12*Index!E10/Index!P10</f>
        <v>2.012891596666256E-2</v>
      </c>
      <c r="AA10" s="13">
        <f>Weights!$B$13*Index!F10/Index!Q10</f>
        <v>0.13133935143080294</v>
      </c>
      <c r="AB10" s="13">
        <f>Weights!$B$14*Index!G10/Index!R10</f>
        <v>0.20254526819268875</v>
      </c>
      <c r="AC10" s="13">
        <f>Weights!$B$15*Index!H10/Index!S10</f>
        <v>5.1021697388632874E-2</v>
      </c>
      <c r="AD10" s="13">
        <f>Weights!$B$16*Index!I10/Index!T10</f>
        <v>0</v>
      </c>
      <c r="AE10" s="13">
        <f>Weights!$B$17*Index!J10/Index!U10</f>
        <v>0.25</v>
      </c>
      <c r="AF10" s="20">
        <f t="shared" si="12"/>
        <v>100.53576842618173</v>
      </c>
      <c r="AG10" s="35">
        <f t="shared" si="13"/>
        <v>100</v>
      </c>
      <c r="AH10" s="12">
        <f>Weights!$E$9*Index!B10/M10</f>
        <v>1.8242831904719092E-2</v>
      </c>
      <c r="AI10" s="12">
        <f>Weights!$E$10*Index!C10/N10</f>
        <v>2.0704059912513669E-2</v>
      </c>
      <c r="AJ10" s="12">
        <f>Weights!$E$11*Index!D10/O10</f>
        <v>0</v>
      </c>
      <c r="AK10" s="12">
        <f>Weights!$E$12*Index!E10/P10</f>
        <v>0.18728052220334018</v>
      </c>
      <c r="AL10" s="12">
        <f>Weights!$E$13*Index!F10/Q10</f>
        <v>0.31824535154386863</v>
      </c>
      <c r="AM10" s="12">
        <f>Weights!$E$14*Index!G10/R10</f>
        <v>0</v>
      </c>
      <c r="AN10" s="12">
        <f>Weights!$E$15*Index!H10/S10</f>
        <v>0.21429112903225803</v>
      </c>
      <c r="AO10" s="12">
        <f>Weights!$E$16*Index!I10/T10</f>
        <v>0</v>
      </c>
      <c r="AP10" s="12">
        <f>Weights!$E$17*Index!J10/U10</f>
        <v>0.25</v>
      </c>
      <c r="AQ10" s="45">
        <f t="shared" si="14"/>
        <v>100.87638945966995</v>
      </c>
    </row>
    <row r="11" spans="1:44" x14ac:dyDescent="0.25">
      <c r="A11" s="8">
        <v>46031</v>
      </c>
      <c r="B11" s="22">
        <v>115.3095</v>
      </c>
      <c r="C11" s="22">
        <v>138.57</v>
      </c>
      <c r="D11" s="22">
        <v>160.61709400000001</v>
      </c>
      <c r="E11" s="22">
        <v>129.685464</v>
      </c>
      <c r="F11" s="22">
        <v>18502.97</v>
      </c>
      <c r="G11" s="22">
        <v>358.13</v>
      </c>
      <c r="H11" s="22">
        <v>2681.5</v>
      </c>
      <c r="I11" s="22">
        <v>601.13</v>
      </c>
      <c r="J11" s="22">
        <v>389.35</v>
      </c>
      <c r="K11" s="9" t="str">
        <f t="shared" si="15"/>
        <v/>
      </c>
      <c r="L11" s="10">
        <f t="shared" si="1"/>
        <v>2</v>
      </c>
      <c r="M11" s="27">
        <f t="shared" si="2"/>
        <v>115.3124</v>
      </c>
      <c r="N11" s="14">
        <f t="shared" si="3"/>
        <v>138.4</v>
      </c>
      <c r="O11" s="14">
        <f t="shared" si="4"/>
        <v>160.47051999999999</v>
      </c>
      <c r="P11" s="14">
        <f t="shared" si="5"/>
        <v>128.45484099999999</v>
      </c>
      <c r="Q11" s="14">
        <f t="shared" si="6"/>
        <v>18219.490000000002</v>
      </c>
      <c r="R11" s="14">
        <f t="shared" si="7"/>
        <v>351.24</v>
      </c>
      <c r="S11" s="14">
        <f t="shared" si="8"/>
        <v>2604</v>
      </c>
      <c r="T11" s="14">
        <f t="shared" si="9"/>
        <v>601.29999999999995</v>
      </c>
      <c r="U11" s="14">
        <f t="shared" si="10"/>
        <v>389.35</v>
      </c>
      <c r="V11" s="36">
        <f t="shared" si="11"/>
        <v>100</v>
      </c>
      <c r="W11" s="13">
        <f>Weights!$B$9*Index!B11/Index!M11</f>
        <v>2.9999245527801002E-2</v>
      </c>
      <c r="X11" s="13">
        <f>Weights!$B$10*Index!C11/Index!N11</f>
        <v>0.25030708092485549</v>
      </c>
      <c r="Y11" s="13">
        <f>Weights!$B$11*Index!D11/Index!O11</f>
        <v>7.0063938099035272E-2</v>
      </c>
      <c r="Z11" s="13">
        <f>Weights!$B$12*Index!E11/Index!P11</f>
        <v>2.0191603989451828E-2</v>
      </c>
      <c r="AA11" s="13">
        <f>Weights!$B$13*Index!F11/Index!Q11</f>
        <v>0.13202269108520601</v>
      </c>
      <c r="AB11" s="13">
        <f>Weights!$B$14*Index!G11/Index!R11</f>
        <v>0.2039232433663592</v>
      </c>
      <c r="AC11" s="13">
        <f>Weights!$B$15*Index!H11/Index!S11</f>
        <v>5.1488095238095243E-2</v>
      </c>
      <c r="AD11" s="13">
        <f>Weights!$B$16*Index!I11/Index!T11</f>
        <v>0</v>
      </c>
      <c r="AE11" s="13">
        <f>Weights!$B$17*Index!J11/Index!U11</f>
        <v>0.25</v>
      </c>
      <c r="AF11" s="20">
        <f t="shared" si="12"/>
        <v>100.79958982308041</v>
      </c>
      <c r="AG11" s="35">
        <f t="shared" si="13"/>
        <v>100</v>
      </c>
      <c r="AH11" s="12">
        <f>Weights!$E$9*Index!B11/M11</f>
        <v>1.8242784442581692E-2</v>
      </c>
      <c r="AI11" s="12">
        <f>Weights!$E$10*Index!C11/N11</f>
        <v>2.0701072098109667E-2</v>
      </c>
      <c r="AJ11" s="12">
        <f>Weights!$E$11*Index!D11/O11</f>
        <v>0</v>
      </c>
      <c r="AK11" s="12">
        <f>Weights!$E$12*Index!E11/P11</f>
        <v>0.1878637749559133</v>
      </c>
      <c r="AL11" s="12">
        <f>Weights!$E$13*Index!F11/Q11</f>
        <v>0.31990113609107601</v>
      </c>
      <c r="AM11" s="12">
        <f>Weights!$E$14*Index!G11/R11</f>
        <v>0</v>
      </c>
      <c r="AN11" s="12">
        <f>Weights!$E$15*Index!H11/S11</f>
        <v>0.21624999999999997</v>
      </c>
      <c r="AO11" s="12">
        <f>Weights!$E$16*Index!I11/T11</f>
        <v>0</v>
      </c>
      <c r="AP11" s="12">
        <f>Weights!$E$17*Index!J11/U11</f>
        <v>0.25</v>
      </c>
      <c r="AQ11" s="45">
        <f t="shared" si="14"/>
        <v>101.29587675876807</v>
      </c>
    </row>
    <row r="12" spans="1:44" x14ac:dyDescent="0.25">
      <c r="A12" s="8">
        <v>46032</v>
      </c>
      <c r="B12" s="22">
        <v>115.3095</v>
      </c>
      <c r="C12" s="22">
        <v>138.57</v>
      </c>
      <c r="D12" s="22">
        <v>160.61709400000001</v>
      </c>
      <c r="E12" s="22">
        <v>129.685464</v>
      </c>
      <c r="F12" s="22">
        <v>18502.97</v>
      </c>
      <c r="G12" s="22">
        <v>358.13</v>
      </c>
      <c r="H12" s="22">
        <v>2681.5</v>
      </c>
      <c r="I12" s="22">
        <v>601.13</v>
      </c>
      <c r="J12" s="22">
        <v>389.35</v>
      </c>
      <c r="K12" s="9" t="str">
        <f t="shared" si="15"/>
        <v/>
      </c>
      <c r="L12" s="10">
        <f t="shared" si="1"/>
        <v>2</v>
      </c>
      <c r="M12" s="27">
        <f t="shared" si="2"/>
        <v>115.3124</v>
      </c>
      <c r="N12" s="14">
        <f t="shared" si="3"/>
        <v>138.4</v>
      </c>
      <c r="O12" s="14">
        <f t="shared" si="4"/>
        <v>160.47051999999999</v>
      </c>
      <c r="P12" s="14">
        <f t="shared" si="5"/>
        <v>128.45484099999999</v>
      </c>
      <c r="Q12" s="14">
        <f t="shared" si="6"/>
        <v>18219.490000000002</v>
      </c>
      <c r="R12" s="14">
        <f t="shared" si="7"/>
        <v>351.24</v>
      </c>
      <c r="S12" s="14">
        <f t="shared" si="8"/>
        <v>2604</v>
      </c>
      <c r="T12" s="14">
        <f t="shared" si="9"/>
        <v>601.29999999999995</v>
      </c>
      <c r="U12" s="14">
        <f t="shared" si="10"/>
        <v>389.35</v>
      </c>
      <c r="V12" s="36">
        <f t="shared" si="11"/>
        <v>100</v>
      </c>
      <c r="W12" s="13">
        <f>Weights!$B$9*Index!B12/Index!M12</f>
        <v>2.9999245527801002E-2</v>
      </c>
      <c r="X12" s="13">
        <f>Weights!$B$10*Index!C12/Index!N12</f>
        <v>0.25030708092485549</v>
      </c>
      <c r="Y12" s="13">
        <f>Weights!$B$11*Index!D12/Index!O12</f>
        <v>7.0063938099035272E-2</v>
      </c>
      <c r="Z12" s="13">
        <f>Weights!$B$12*Index!E12/Index!P12</f>
        <v>2.0191603989451828E-2</v>
      </c>
      <c r="AA12" s="13">
        <f>Weights!$B$13*Index!F12/Index!Q12</f>
        <v>0.13202269108520601</v>
      </c>
      <c r="AB12" s="13">
        <f>Weights!$B$14*Index!G12/Index!R12</f>
        <v>0.2039232433663592</v>
      </c>
      <c r="AC12" s="13">
        <f>Weights!$B$15*Index!H12/Index!S12</f>
        <v>5.1488095238095243E-2</v>
      </c>
      <c r="AD12" s="13">
        <f>Weights!$B$16*Index!I12/Index!T12</f>
        <v>0</v>
      </c>
      <c r="AE12" s="13">
        <f>Weights!$B$17*Index!J12/Index!U12</f>
        <v>0.25</v>
      </c>
      <c r="AF12" s="20">
        <f t="shared" si="12"/>
        <v>100.79958982308041</v>
      </c>
      <c r="AG12" s="35">
        <f t="shared" si="13"/>
        <v>100</v>
      </c>
      <c r="AH12" s="12">
        <f>Weights!$E$9*Index!B12/M12</f>
        <v>1.8242784442581692E-2</v>
      </c>
      <c r="AI12" s="12">
        <f>Weights!$E$10*Index!C12/N12</f>
        <v>2.0701072098109667E-2</v>
      </c>
      <c r="AJ12" s="12">
        <f>Weights!$E$11*Index!D12/O12</f>
        <v>0</v>
      </c>
      <c r="AK12" s="12">
        <f>Weights!$E$12*Index!E12/P12</f>
        <v>0.1878637749559133</v>
      </c>
      <c r="AL12" s="12">
        <f>Weights!$E$13*Index!F12/Q12</f>
        <v>0.31990113609107601</v>
      </c>
      <c r="AM12" s="12">
        <f>Weights!$E$14*Index!G12/R12</f>
        <v>0</v>
      </c>
      <c r="AN12" s="12">
        <f>Weights!$E$15*Index!H12/S12</f>
        <v>0.21624999999999997</v>
      </c>
      <c r="AO12" s="12">
        <f>Weights!$E$16*Index!I12/T12</f>
        <v>0</v>
      </c>
      <c r="AP12" s="12">
        <f>Weights!$E$17*Index!J12/U12</f>
        <v>0.25</v>
      </c>
      <c r="AQ12" s="45">
        <f t="shared" si="14"/>
        <v>101.29587675876807</v>
      </c>
    </row>
    <row r="13" spans="1:44" x14ac:dyDescent="0.25">
      <c r="A13" s="8">
        <v>46033</v>
      </c>
      <c r="B13" s="22">
        <v>115.3095</v>
      </c>
      <c r="C13" s="22">
        <v>138.57</v>
      </c>
      <c r="D13" s="22">
        <v>160.61709400000001</v>
      </c>
      <c r="E13" s="22">
        <v>129.685464</v>
      </c>
      <c r="F13" s="22">
        <v>18502.97</v>
      </c>
      <c r="G13" s="22">
        <v>358.13</v>
      </c>
      <c r="H13" s="22">
        <v>2681.5</v>
      </c>
      <c r="I13" s="22">
        <v>601.13</v>
      </c>
      <c r="J13" s="22">
        <v>389.35</v>
      </c>
      <c r="K13" s="9" t="str">
        <f t="shared" si="15"/>
        <v/>
      </c>
      <c r="L13" s="10">
        <f t="shared" si="1"/>
        <v>2</v>
      </c>
      <c r="M13" s="27">
        <f t="shared" si="2"/>
        <v>115.3124</v>
      </c>
      <c r="N13" s="14">
        <f t="shared" si="3"/>
        <v>138.4</v>
      </c>
      <c r="O13" s="14">
        <f t="shared" si="4"/>
        <v>160.47051999999999</v>
      </c>
      <c r="P13" s="14">
        <f t="shared" si="5"/>
        <v>128.45484099999999</v>
      </c>
      <c r="Q13" s="14">
        <f t="shared" si="6"/>
        <v>18219.490000000002</v>
      </c>
      <c r="R13" s="14">
        <f t="shared" si="7"/>
        <v>351.24</v>
      </c>
      <c r="S13" s="14">
        <f t="shared" si="8"/>
        <v>2604</v>
      </c>
      <c r="T13" s="14">
        <f t="shared" si="9"/>
        <v>601.29999999999995</v>
      </c>
      <c r="U13" s="14">
        <f t="shared" si="10"/>
        <v>389.35</v>
      </c>
      <c r="V13" s="36">
        <f t="shared" si="11"/>
        <v>100</v>
      </c>
      <c r="W13" s="13">
        <f>Weights!$B$9*Index!B13/Index!M13</f>
        <v>2.9999245527801002E-2</v>
      </c>
      <c r="X13" s="13">
        <f>Weights!$B$10*Index!C13/Index!N13</f>
        <v>0.25030708092485549</v>
      </c>
      <c r="Y13" s="13">
        <f>Weights!$B$11*Index!D13/Index!O13</f>
        <v>7.0063938099035272E-2</v>
      </c>
      <c r="Z13" s="13">
        <f>Weights!$B$12*Index!E13/Index!P13</f>
        <v>2.0191603989451828E-2</v>
      </c>
      <c r="AA13" s="13">
        <f>Weights!$B$13*Index!F13/Index!Q13</f>
        <v>0.13202269108520601</v>
      </c>
      <c r="AB13" s="13">
        <f>Weights!$B$14*Index!G13/Index!R13</f>
        <v>0.2039232433663592</v>
      </c>
      <c r="AC13" s="13">
        <f>Weights!$B$15*Index!H13/Index!S13</f>
        <v>5.1488095238095243E-2</v>
      </c>
      <c r="AD13" s="13">
        <f>Weights!$B$16*Index!I13/Index!T13</f>
        <v>0</v>
      </c>
      <c r="AE13" s="13">
        <f>Weights!$B$17*Index!J13/Index!U13</f>
        <v>0.25</v>
      </c>
      <c r="AF13" s="20">
        <f t="shared" si="12"/>
        <v>100.79958982308041</v>
      </c>
      <c r="AG13" s="35">
        <f t="shared" si="13"/>
        <v>100</v>
      </c>
      <c r="AH13" s="12">
        <f>Weights!$E$9*Index!B13/M13</f>
        <v>1.8242784442581692E-2</v>
      </c>
      <c r="AI13" s="12">
        <f>Weights!$E$10*Index!C13/N13</f>
        <v>2.0701072098109667E-2</v>
      </c>
      <c r="AJ13" s="12">
        <f>Weights!$E$11*Index!D13/O13</f>
        <v>0</v>
      </c>
      <c r="AK13" s="12">
        <f>Weights!$E$12*Index!E13/P13</f>
        <v>0.1878637749559133</v>
      </c>
      <c r="AL13" s="12">
        <f>Weights!$E$13*Index!F13/Q13</f>
        <v>0.31990113609107601</v>
      </c>
      <c r="AM13" s="12">
        <f>Weights!$E$14*Index!G13/R13</f>
        <v>0</v>
      </c>
      <c r="AN13" s="12">
        <f>Weights!$E$15*Index!H13/S13</f>
        <v>0.21624999999999997</v>
      </c>
      <c r="AO13" s="12">
        <f>Weights!$E$16*Index!I13/T13</f>
        <v>0</v>
      </c>
      <c r="AP13" s="12">
        <f>Weights!$E$17*Index!J13/U13</f>
        <v>0.25</v>
      </c>
      <c r="AQ13" s="45">
        <f t="shared" si="14"/>
        <v>101.29587675876807</v>
      </c>
    </row>
    <row r="14" spans="1:44" x14ac:dyDescent="0.25">
      <c r="A14" s="8">
        <v>46034</v>
      </c>
      <c r="B14" s="22">
        <v>115.3085</v>
      </c>
      <c r="C14" s="22">
        <v>138.87</v>
      </c>
      <c r="D14" s="22">
        <v>160.60932500000001</v>
      </c>
      <c r="E14" s="22">
        <v>129.04539299999999</v>
      </c>
      <c r="F14" s="22">
        <v>18499.240000000002</v>
      </c>
      <c r="G14" s="22">
        <v>358.72</v>
      </c>
      <c r="H14" s="22">
        <v>2671.29</v>
      </c>
      <c r="I14" s="22">
        <v>601.30999999999995</v>
      </c>
      <c r="J14" s="22">
        <v>389.35</v>
      </c>
      <c r="K14" s="9" t="str">
        <f t="shared" si="15"/>
        <v/>
      </c>
      <c r="L14" s="10">
        <f t="shared" si="1"/>
        <v>2</v>
      </c>
      <c r="M14" s="27">
        <f t="shared" si="2"/>
        <v>115.3124</v>
      </c>
      <c r="N14" s="14">
        <f t="shared" si="3"/>
        <v>138.4</v>
      </c>
      <c r="O14" s="14">
        <f t="shared" si="4"/>
        <v>160.47051999999999</v>
      </c>
      <c r="P14" s="14">
        <f t="shared" si="5"/>
        <v>128.45484099999999</v>
      </c>
      <c r="Q14" s="14">
        <f t="shared" si="6"/>
        <v>18219.490000000002</v>
      </c>
      <c r="R14" s="14">
        <f t="shared" si="7"/>
        <v>351.24</v>
      </c>
      <c r="S14" s="14">
        <f t="shared" si="8"/>
        <v>2604</v>
      </c>
      <c r="T14" s="14">
        <f t="shared" si="9"/>
        <v>601.29999999999995</v>
      </c>
      <c r="U14" s="14">
        <f t="shared" si="10"/>
        <v>389.35</v>
      </c>
      <c r="V14" s="36">
        <f t="shared" si="11"/>
        <v>100</v>
      </c>
      <c r="W14" s="13">
        <f>Weights!$B$9*Index!B14/Index!M14</f>
        <v>2.9998985364973758E-2</v>
      </c>
      <c r="X14" s="13">
        <f>Weights!$B$10*Index!C14/Index!N14</f>
        <v>0.25084898843930636</v>
      </c>
      <c r="Y14" s="13">
        <f>Weights!$B$11*Index!D14/Index!O14</f>
        <v>7.006054912765286E-2</v>
      </c>
      <c r="Z14" s="13">
        <f>Weights!$B$12*Index!E14/Index!P14</f>
        <v>2.0091947021288206E-2</v>
      </c>
      <c r="AA14" s="13">
        <f>Weights!$B$13*Index!F14/Index!Q14</f>
        <v>0.13199607672882172</v>
      </c>
      <c r="AB14" s="13">
        <f>Weights!$B$14*Index!G14/Index!R14</f>
        <v>0.20425919599134498</v>
      </c>
      <c r="AC14" s="13">
        <f>Weights!$B$15*Index!H14/Index!S14</f>
        <v>5.1292050691244241E-2</v>
      </c>
      <c r="AD14" s="13">
        <f>Weights!$B$16*Index!I14/Index!T14</f>
        <v>0</v>
      </c>
      <c r="AE14" s="13">
        <f>Weights!$B$17*Index!J14/Index!U14</f>
        <v>0.25</v>
      </c>
      <c r="AF14" s="20">
        <f t="shared" si="12"/>
        <v>100.85477933646321</v>
      </c>
      <c r="AG14" s="35">
        <f t="shared" si="13"/>
        <v>100</v>
      </c>
      <c r="AH14" s="12">
        <f>Weights!$E$9*Index!B14/M14</f>
        <v>1.8242626235457016E-2</v>
      </c>
      <c r="AI14" s="12">
        <f>Weights!$E$10*Index!C14/N14</f>
        <v>2.0745889314169663E-2</v>
      </c>
      <c r="AJ14" s="12">
        <f>Weights!$E$11*Index!D14/O14</f>
        <v>0</v>
      </c>
      <c r="AK14" s="12">
        <f>Weights!$E$12*Index!E14/P14</f>
        <v>0.18693656113725582</v>
      </c>
      <c r="AL14" s="12">
        <f>Weights!$E$13*Index!F14/Q14</f>
        <v>0.31983664745829871</v>
      </c>
      <c r="AM14" s="12">
        <f>Weights!$E$14*Index!G14/R14</f>
        <v>0</v>
      </c>
      <c r="AN14" s="12">
        <f>Weights!$E$15*Index!H14/S14</f>
        <v>0.21542661290322576</v>
      </c>
      <c r="AO14" s="12">
        <f>Weights!$E$16*Index!I14/T14</f>
        <v>0</v>
      </c>
      <c r="AP14" s="12">
        <f>Weights!$E$17*Index!J14/U14</f>
        <v>0.25</v>
      </c>
      <c r="AQ14" s="45">
        <f t="shared" si="14"/>
        <v>101.1188337048407</v>
      </c>
    </row>
    <row r="15" spans="1:44" x14ac:dyDescent="0.25">
      <c r="A15" s="8">
        <v>46035</v>
      </c>
      <c r="B15" s="22">
        <v>115.3082</v>
      </c>
      <c r="C15" s="22">
        <v>138.79</v>
      </c>
      <c r="D15" s="22">
        <v>160.58223799999999</v>
      </c>
      <c r="E15" s="22">
        <v>129.458844</v>
      </c>
      <c r="F15" s="22">
        <v>18404.03</v>
      </c>
      <c r="G15" s="22">
        <v>358.81</v>
      </c>
      <c r="H15" s="22">
        <v>2682.11</v>
      </c>
      <c r="I15" s="22">
        <v>600.61</v>
      </c>
      <c r="J15" s="22">
        <v>389.35</v>
      </c>
      <c r="K15" s="9" t="str">
        <f t="shared" si="15"/>
        <v/>
      </c>
      <c r="L15" s="10">
        <f t="shared" si="1"/>
        <v>2</v>
      </c>
      <c r="M15" s="27">
        <f t="shared" si="2"/>
        <v>115.3124</v>
      </c>
      <c r="N15" s="14">
        <f t="shared" si="3"/>
        <v>138.4</v>
      </c>
      <c r="O15" s="14">
        <f t="shared" si="4"/>
        <v>160.47051999999999</v>
      </c>
      <c r="P15" s="14">
        <f t="shared" si="5"/>
        <v>128.45484099999999</v>
      </c>
      <c r="Q15" s="14">
        <f t="shared" si="6"/>
        <v>18219.490000000002</v>
      </c>
      <c r="R15" s="14">
        <f t="shared" si="7"/>
        <v>351.24</v>
      </c>
      <c r="S15" s="14">
        <f t="shared" si="8"/>
        <v>2604</v>
      </c>
      <c r="T15" s="14">
        <f t="shared" si="9"/>
        <v>601.29999999999995</v>
      </c>
      <c r="U15" s="14">
        <f t="shared" si="10"/>
        <v>389.35</v>
      </c>
      <c r="V15" s="36">
        <f t="shared" si="11"/>
        <v>100</v>
      </c>
      <c r="W15" s="13">
        <f>Weights!$B$9*Index!B15/Index!M15</f>
        <v>2.9998907316125586E-2</v>
      </c>
      <c r="X15" s="13">
        <f>Weights!$B$10*Index!C15/Index!N15</f>
        <v>0.25070447976878613</v>
      </c>
      <c r="Y15" s="13">
        <f>Weights!$B$11*Index!D15/Index!O15</f>
        <v>7.0048733312511241E-2</v>
      </c>
      <c r="Z15" s="13">
        <f>Weights!$B$12*Index!E15/Index!P15</f>
        <v>2.0156319994199364E-2</v>
      </c>
      <c r="AA15" s="13">
        <f>Weights!$B$13*Index!F15/Index!Q15</f>
        <v>0.13131673279548439</v>
      </c>
      <c r="AB15" s="13">
        <f>Weights!$B$14*Index!G15/Index!R15</f>
        <v>0.20431044300193599</v>
      </c>
      <c r="AC15" s="13">
        <f>Weights!$B$15*Index!H15/Index!S15</f>
        <v>5.1499807987711213E-2</v>
      </c>
      <c r="AD15" s="13">
        <f>Weights!$B$16*Index!I15/Index!T15</f>
        <v>0</v>
      </c>
      <c r="AE15" s="13">
        <f>Weights!$B$17*Index!J15/Index!U15</f>
        <v>0.25</v>
      </c>
      <c r="AF15" s="20">
        <f t="shared" si="12"/>
        <v>100.80354241767542</v>
      </c>
      <c r="AG15" s="35">
        <f t="shared" si="13"/>
        <v>100</v>
      </c>
      <c r="AH15" s="12">
        <f>Weights!$E$9*Index!B15/M15</f>
        <v>1.8242578773319616E-2</v>
      </c>
      <c r="AI15" s="12">
        <f>Weights!$E$10*Index!C15/N15</f>
        <v>2.0733938056553661E-2</v>
      </c>
      <c r="AJ15" s="12">
        <f>Weights!$E$11*Index!D15/O15</f>
        <v>0</v>
      </c>
      <c r="AK15" s="12">
        <f>Weights!$E$12*Index!E15/P15</f>
        <v>0.18753549075684139</v>
      </c>
      <c r="AL15" s="12">
        <f>Weights!$E$13*Index!F15/Q15</f>
        <v>0.31819054485059672</v>
      </c>
      <c r="AM15" s="12">
        <f>Weights!$E$14*Index!G15/R15</f>
        <v>0</v>
      </c>
      <c r="AN15" s="12">
        <f>Weights!$E$15*Index!H15/S15</f>
        <v>0.21629919354838706</v>
      </c>
      <c r="AO15" s="12">
        <f>Weights!$E$16*Index!I15/T15</f>
        <v>0</v>
      </c>
      <c r="AP15" s="12">
        <f>Weights!$E$17*Index!J15/U15</f>
        <v>0.25</v>
      </c>
      <c r="AQ15" s="45">
        <f t="shared" si="14"/>
        <v>101.10017459856984</v>
      </c>
    </row>
    <row r="16" spans="1:44" x14ac:dyDescent="0.25">
      <c r="A16" s="8">
        <v>46036</v>
      </c>
      <c r="B16" s="22">
        <v>115.3079</v>
      </c>
      <c r="C16" s="22">
        <v>138.94</v>
      </c>
      <c r="D16" s="22">
        <v>160.74519900000001</v>
      </c>
      <c r="E16" s="22">
        <v>129.52027899999999</v>
      </c>
      <c r="F16" s="22">
        <v>18543.84</v>
      </c>
      <c r="G16" s="22">
        <v>357.68</v>
      </c>
      <c r="H16" s="22">
        <v>2672.56</v>
      </c>
      <c r="I16" s="22">
        <v>599.25</v>
      </c>
      <c r="J16" s="22">
        <v>389.35</v>
      </c>
      <c r="K16" s="9" t="str">
        <f t="shared" si="15"/>
        <v/>
      </c>
      <c r="L16" s="10">
        <f t="shared" si="1"/>
        <v>2</v>
      </c>
      <c r="M16" s="27">
        <f t="shared" si="2"/>
        <v>115.3124</v>
      </c>
      <c r="N16" s="14">
        <f t="shared" si="3"/>
        <v>138.4</v>
      </c>
      <c r="O16" s="14">
        <f t="shared" si="4"/>
        <v>160.47051999999999</v>
      </c>
      <c r="P16" s="14">
        <f t="shared" si="5"/>
        <v>128.45484099999999</v>
      </c>
      <c r="Q16" s="14">
        <f t="shared" si="6"/>
        <v>18219.490000000002</v>
      </c>
      <c r="R16" s="14">
        <f t="shared" si="7"/>
        <v>351.24</v>
      </c>
      <c r="S16" s="14">
        <f t="shared" si="8"/>
        <v>2604</v>
      </c>
      <c r="T16" s="14">
        <f t="shared" si="9"/>
        <v>601.29999999999995</v>
      </c>
      <c r="U16" s="14">
        <f t="shared" si="10"/>
        <v>389.35</v>
      </c>
      <c r="V16" s="36">
        <f t="shared" si="11"/>
        <v>100</v>
      </c>
      <c r="W16" s="13">
        <f>Weights!$B$9*Index!B16/Index!M16</f>
        <v>2.9998829267277413E-2</v>
      </c>
      <c r="X16" s="13">
        <f>Weights!$B$10*Index!C16/Index!N16</f>
        <v>0.25097543352601154</v>
      </c>
      <c r="Y16" s="13">
        <f>Weights!$B$11*Index!D16/Index!O16</f>
        <v>7.0119819702709266E-2</v>
      </c>
      <c r="Z16" s="13">
        <f>Weights!$B$12*Index!E16/Index!P16</f>
        <v>2.0165885223430387E-2</v>
      </c>
      <c r="AA16" s="13">
        <f>Weights!$B$13*Index!F16/Index!Q16</f>
        <v>0.13231430737084296</v>
      </c>
      <c r="AB16" s="13">
        <f>Weights!$B$14*Index!G16/Index!R16</f>
        <v>0.20366700831340395</v>
      </c>
      <c r="AC16" s="13">
        <f>Weights!$B$15*Index!H16/Index!S16</f>
        <v>5.1316436251920131E-2</v>
      </c>
      <c r="AD16" s="13">
        <f>Weights!$B$16*Index!I16/Index!T16</f>
        <v>0</v>
      </c>
      <c r="AE16" s="13">
        <f>Weights!$B$17*Index!J16/Index!U16</f>
        <v>0.25</v>
      </c>
      <c r="AF16" s="20">
        <f t="shared" si="12"/>
        <v>100.85577196555957</v>
      </c>
      <c r="AG16" s="35">
        <f t="shared" si="13"/>
        <v>100</v>
      </c>
      <c r="AH16" s="12">
        <f>Weights!$E$9*Index!B16/M16</f>
        <v>1.8242531311182211E-2</v>
      </c>
      <c r="AI16" s="12">
        <f>Weights!$E$10*Index!C16/N16</f>
        <v>2.0756346664583657E-2</v>
      </c>
      <c r="AJ16" s="12">
        <f>Weights!$E$11*Index!D16/O16</f>
        <v>0</v>
      </c>
      <c r="AK16" s="12">
        <f>Weights!$E$12*Index!E16/P16</f>
        <v>0.18762448616664629</v>
      </c>
      <c r="AL16" s="12">
        <f>Weights!$E$13*Index!F16/Q16</f>
        <v>0.32060774478319637</v>
      </c>
      <c r="AM16" s="12">
        <f>Weights!$E$14*Index!G16/R16</f>
        <v>0</v>
      </c>
      <c r="AN16" s="12">
        <f>Weights!$E$15*Index!H16/S16</f>
        <v>0.2155290322580645</v>
      </c>
      <c r="AO16" s="12">
        <f>Weights!$E$16*Index!I16/T16</f>
        <v>0</v>
      </c>
      <c r="AP16" s="12">
        <f>Weights!$E$17*Index!J16/U16</f>
        <v>0.25</v>
      </c>
      <c r="AQ16" s="45">
        <f t="shared" si="14"/>
        <v>101.27601411836731</v>
      </c>
    </row>
    <row r="17" spans="1:43" x14ac:dyDescent="0.25">
      <c r="A17" s="8">
        <v>46037</v>
      </c>
      <c r="B17" s="22">
        <v>115.30759999999999</v>
      </c>
      <c r="C17" s="22">
        <v>139</v>
      </c>
      <c r="D17" s="22">
        <v>160.69711799999999</v>
      </c>
      <c r="E17" s="22">
        <v>130.06905699999999</v>
      </c>
      <c r="F17" s="22">
        <v>18595</v>
      </c>
      <c r="G17" s="22">
        <v>358.77</v>
      </c>
      <c r="H17" s="22">
        <v>2694.23</v>
      </c>
      <c r="I17" s="22">
        <v>597.89</v>
      </c>
      <c r="J17" s="22">
        <v>389.35</v>
      </c>
      <c r="K17" s="9" t="str">
        <f t="shared" si="15"/>
        <v/>
      </c>
      <c r="L17" s="10">
        <f t="shared" si="1"/>
        <v>2</v>
      </c>
      <c r="M17" s="27">
        <f t="shared" si="2"/>
        <v>115.3124</v>
      </c>
      <c r="N17" s="14">
        <f t="shared" si="3"/>
        <v>138.4</v>
      </c>
      <c r="O17" s="14">
        <f t="shared" si="4"/>
        <v>160.47051999999999</v>
      </c>
      <c r="P17" s="14">
        <f t="shared" si="5"/>
        <v>128.45484099999999</v>
      </c>
      <c r="Q17" s="14">
        <f t="shared" si="6"/>
        <v>18219.490000000002</v>
      </c>
      <c r="R17" s="14">
        <f t="shared" si="7"/>
        <v>351.24</v>
      </c>
      <c r="S17" s="14">
        <f t="shared" si="8"/>
        <v>2604</v>
      </c>
      <c r="T17" s="14">
        <f t="shared" si="9"/>
        <v>601.29999999999995</v>
      </c>
      <c r="U17" s="14">
        <f t="shared" si="10"/>
        <v>389.35</v>
      </c>
      <c r="V17" s="36">
        <f t="shared" si="11"/>
        <v>100</v>
      </c>
      <c r="W17" s="13">
        <f>Weights!$B$9*Index!B17/Index!M17</f>
        <v>2.9998751218429237E-2</v>
      </c>
      <c r="X17" s="13">
        <f>Weights!$B$10*Index!C17/Index!N17</f>
        <v>0.2510838150289017</v>
      </c>
      <c r="Y17" s="13">
        <f>Weights!$B$11*Index!D17/Index!O17</f>
        <v>7.0098845943790802E-2</v>
      </c>
      <c r="Z17" s="13">
        <f>Weights!$B$12*Index!E17/Index!P17</f>
        <v>2.0251328169095629E-2</v>
      </c>
      <c r="AA17" s="13">
        <f>Weights!$B$13*Index!F17/Index!Q17</f>
        <v>0.13267934503106288</v>
      </c>
      <c r="AB17" s="13">
        <f>Weights!$B$14*Index!G17/Index!R17</f>
        <v>0.20428766655278444</v>
      </c>
      <c r="AC17" s="13">
        <f>Weights!$B$15*Index!H17/Index!S17</f>
        <v>5.1732526881720434E-2</v>
      </c>
      <c r="AD17" s="13">
        <f>Weights!$B$16*Index!I17/Index!T17</f>
        <v>0</v>
      </c>
      <c r="AE17" s="13">
        <f>Weights!$B$17*Index!J17/Index!U17</f>
        <v>0.25</v>
      </c>
      <c r="AF17" s="20">
        <f t="shared" si="12"/>
        <v>101.01322788257852</v>
      </c>
      <c r="AG17" s="35">
        <f t="shared" si="13"/>
        <v>100</v>
      </c>
      <c r="AH17" s="12">
        <f>Weights!$E$9*Index!B17/M17</f>
        <v>1.824248384904481E-2</v>
      </c>
      <c r="AI17" s="12">
        <f>Weights!$E$10*Index!C17/N17</f>
        <v>2.0765310107795656E-2</v>
      </c>
      <c r="AJ17" s="12">
        <f>Weights!$E$11*Index!D17/O17</f>
        <v>0</v>
      </c>
      <c r="AK17" s="12">
        <f>Weights!$E$12*Index!E17/P17</f>
        <v>0.18841945195165324</v>
      </c>
      <c r="AL17" s="12">
        <f>Weights!$E$13*Index!F17/Q17</f>
        <v>0.32149225911372925</v>
      </c>
      <c r="AM17" s="12">
        <f>Weights!$E$14*Index!G17/R17</f>
        <v>0</v>
      </c>
      <c r="AN17" s="12">
        <f>Weights!$E$15*Index!H17/S17</f>
        <v>0.21727661290322578</v>
      </c>
      <c r="AO17" s="12">
        <f>Weights!$E$16*Index!I17/T17</f>
        <v>0</v>
      </c>
      <c r="AP17" s="12">
        <f>Weights!$E$17*Index!J17/U17</f>
        <v>0.25</v>
      </c>
      <c r="AQ17" s="45">
        <f t="shared" si="14"/>
        <v>101.61961179254489</v>
      </c>
    </row>
    <row r="18" spans="1:43" x14ac:dyDescent="0.25">
      <c r="A18" s="8">
        <v>46038</v>
      </c>
      <c r="B18" s="22">
        <v>115.30719999999999</v>
      </c>
      <c r="C18" s="22">
        <v>138.96</v>
      </c>
      <c r="D18" s="22">
        <v>160.44478599999999</v>
      </c>
      <c r="E18" s="22">
        <v>129.775543</v>
      </c>
      <c r="F18" s="22">
        <v>18527.919999999998</v>
      </c>
      <c r="G18" s="22">
        <v>358.54</v>
      </c>
      <c r="H18" s="22">
        <v>2690.61</v>
      </c>
      <c r="I18" s="22">
        <v>599.48</v>
      </c>
      <c r="J18" s="22">
        <v>389.35</v>
      </c>
      <c r="K18" s="9" t="str">
        <f t="shared" si="15"/>
        <v/>
      </c>
      <c r="L18" s="10">
        <f t="shared" si="1"/>
        <v>2</v>
      </c>
      <c r="M18" s="27">
        <f t="shared" si="2"/>
        <v>115.3124</v>
      </c>
      <c r="N18" s="14">
        <f t="shared" si="3"/>
        <v>138.4</v>
      </c>
      <c r="O18" s="14">
        <f t="shared" si="4"/>
        <v>160.47051999999999</v>
      </c>
      <c r="P18" s="14">
        <f t="shared" si="5"/>
        <v>128.45484099999999</v>
      </c>
      <c r="Q18" s="14">
        <f t="shared" si="6"/>
        <v>18219.490000000002</v>
      </c>
      <c r="R18" s="14">
        <f t="shared" si="7"/>
        <v>351.24</v>
      </c>
      <c r="S18" s="14">
        <f t="shared" si="8"/>
        <v>2604</v>
      </c>
      <c r="T18" s="14">
        <f t="shared" si="9"/>
        <v>601.29999999999995</v>
      </c>
      <c r="U18" s="14">
        <f t="shared" si="10"/>
        <v>389.35</v>
      </c>
      <c r="V18" s="36">
        <f t="shared" si="11"/>
        <v>100</v>
      </c>
      <c r="W18" s="13">
        <f>Weights!$B$9*Index!B18/Index!M18</f>
        <v>2.9998647153298343E-2</v>
      </c>
      <c r="X18" s="13">
        <f>Weights!$B$10*Index!C18/Index!N18</f>
        <v>0.25101156069364161</v>
      </c>
      <c r="Y18" s="13">
        <f>Weights!$B$11*Index!D18/Index!O18</f>
        <v>6.9988774386722255E-2</v>
      </c>
      <c r="Z18" s="13">
        <f>Weights!$B$12*Index!E18/Index!P18</f>
        <v>2.0205628996107668E-2</v>
      </c>
      <c r="AA18" s="13">
        <f>Weights!$B$13*Index!F18/Index!Q18</f>
        <v>0.13220071472911699</v>
      </c>
      <c r="AB18" s="13">
        <f>Weights!$B$14*Index!G18/Index!R18</f>
        <v>0.20415670197016289</v>
      </c>
      <c r="AC18" s="13">
        <f>Weights!$B$15*Index!H18/Index!S18</f>
        <v>5.1663018433179733E-2</v>
      </c>
      <c r="AD18" s="13">
        <f>Weights!$B$16*Index!I18/Index!T18</f>
        <v>0</v>
      </c>
      <c r="AE18" s="13">
        <f>Weights!$B$17*Index!J18/Index!U18</f>
        <v>0.25</v>
      </c>
      <c r="AF18" s="20">
        <f t="shared" si="12"/>
        <v>100.92250463622294</v>
      </c>
      <c r="AG18" s="35">
        <f t="shared" si="13"/>
        <v>100</v>
      </c>
      <c r="AH18" s="12">
        <f>Weights!$E$9*Index!B18/M18</f>
        <v>1.824242056619494E-2</v>
      </c>
      <c r="AI18" s="12">
        <f>Weights!$E$10*Index!C18/N18</f>
        <v>2.0759334478987659E-2</v>
      </c>
      <c r="AJ18" s="12">
        <f>Weights!$E$11*Index!D18/O18</f>
        <v>0</v>
      </c>
      <c r="AK18" s="12">
        <f>Weights!$E$12*Index!E18/P18</f>
        <v>0.18799426437594771</v>
      </c>
      <c r="AL18" s="12">
        <f>Weights!$E$13*Index!F18/Q18</f>
        <v>0.32033250107439881</v>
      </c>
      <c r="AM18" s="12">
        <f>Weights!$E$14*Index!G18/R18</f>
        <v>0</v>
      </c>
      <c r="AN18" s="12">
        <f>Weights!$E$15*Index!H18/S18</f>
        <v>0.21698467741935479</v>
      </c>
      <c r="AO18" s="12">
        <f>Weights!$E$16*Index!I18/T18</f>
        <v>0</v>
      </c>
      <c r="AP18" s="12">
        <f>Weights!$E$17*Index!J18/U18</f>
        <v>0.25</v>
      </c>
      <c r="AQ18" s="45">
        <f t="shared" si="14"/>
        <v>101.43131979148841</v>
      </c>
    </row>
    <row r="19" spans="1:43" x14ac:dyDescent="0.25">
      <c r="A19" s="8">
        <v>46039</v>
      </c>
      <c r="B19" s="22">
        <v>115.30719999999999</v>
      </c>
      <c r="C19" s="22">
        <v>138.96</v>
      </c>
      <c r="D19" s="22">
        <v>160.44478599999999</v>
      </c>
      <c r="E19" s="22">
        <v>129.775543</v>
      </c>
      <c r="F19" s="22">
        <v>18527.919999999998</v>
      </c>
      <c r="G19" s="22">
        <v>358.54</v>
      </c>
      <c r="H19" s="22">
        <v>2690.61</v>
      </c>
      <c r="I19" s="22">
        <v>599.48</v>
      </c>
      <c r="J19" s="22">
        <v>389.35</v>
      </c>
      <c r="K19" s="9" t="str">
        <f t="shared" si="15"/>
        <v/>
      </c>
      <c r="L19" s="10">
        <f t="shared" si="1"/>
        <v>2</v>
      </c>
      <c r="M19" s="27">
        <f t="shared" si="2"/>
        <v>115.3124</v>
      </c>
      <c r="N19" s="14">
        <f t="shared" si="3"/>
        <v>138.4</v>
      </c>
      <c r="O19" s="14">
        <f t="shared" si="4"/>
        <v>160.47051999999999</v>
      </c>
      <c r="P19" s="14">
        <f t="shared" si="5"/>
        <v>128.45484099999999</v>
      </c>
      <c r="Q19" s="14">
        <f t="shared" si="6"/>
        <v>18219.490000000002</v>
      </c>
      <c r="R19" s="14">
        <f t="shared" si="7"/>
        <v>351.24</v>
      </c>
      <c r="S19" s="14">
        <f t="shared" si="8"/>
        <v>2604</v>
      </c>
      <c r="T19" s="14">
        <f t="shared" si="9"/>
        <v>601.29999999999995</v>
      </c>
      <c r="U19" s="14">
        <f t="shared" si="10"/>
        <v>389.35</v>
      </c>
      <c r="V19" s="36">
        <f t="shared" si="11"/>
        <v>100</v>
      </c>
      <c r="W19" s="13">
        <f>Weights!$B$9*Index!B19/Index!M19</f>
        <v>2.9998647153298343E-2</v>
      </c>
      <c r="X19" s="13">
        <f>Weights!$B$10*Index!C19/Index!N19</f>
        <v>0.25101156069364161</v>
      </c>
      <c r="Y19" s="13">
        <f>Weights!$B$11*Index!D19/Index!O19</f>
        <v>6.9988774386722255E-2</v>
      </c>
      <c r="Z19" s="13">
        <f>Weights!$B$12*Index!E19/Index!P19</f>
        <v>2.0205628996107668E-2</v>
      </c>
      <c r="AA19" s="13">
        <f>Weights!$B$13*Index!F19/Index!Q19</f>
        <v>0.13220071472911699</v>
      </c>
      <c r="AB19" s="13">
        <f>Weights!$B$14*Index!G19/Index!R19</f>
        <v>0.20415670197016289</v>
      </c>
      <c r="AC19" s="13">
        <f>Weights!$B$15*Index!H19/Index!S19</f>
        <v>5.1663018433179733E-2</v>
      </c>
      <c r="AD19" s="13">
        <f>Weights!$B$16*Index!I19/Index!T19</f>
        <v>0</v>
      </c>
      <c r="AE19" s="13">
        <f>Weights!$B$17*Index!J19/Index!U19</f>
        <v>0.25</v>
      </c>
      <c r="AF19" s="20">
        <f t="shared" si="12"/>
        <v>100.92250463622294</v>
      </c>
      <c r="AG19" s="35">
        <f t="shared" si="13"/>
        <v>100</v>
      </c>
      <c r="AH19" s="12">
        <f>Weights!$E$9*Index!B19/M19</f>
        <v>1.824242056619494E-2</v>
      </c>
      <c r="AI19" s="12">
        <f>Weights!$E$10*Index!C19/N19</f>
        <v>2.0759334478987659E-2</v>
      </c>
      <c r="AJ19" s="12">
        <f>Weights!$E$11*Index!D19/O19</f>
        <v>0</v>
      </c>
      <c r="AK19" s="12">
        <f>Weights!$E$12*Index!E19/P19</f>
        <v>0.18799426437594771</v>
      </c>
      <c r="AL19" s="12">
        <f>Weights!$E$13*Index!F19/Q19</f>
        <v>0.32033250107439881</v>
      </c>
      <c r="AM19" s="12">
        <f>Weights!$E$14*Index!G19/R19</f>
        <v>0</v>
      </c>
      <c r="AN19" s="12">
        <f>Weights!$E$15*Index!H19/S19</f>
        <v>0.21698467741935479</v>
      </c>
      <c r="AO19" s="12">
        <f>Weights!$E$16*Index!I19/T19</f>
        <v>0</v>
      </c>
      <c r="AP19" s="12">
        <f>Weights!$E$17*Index!J19/U19</f>
        <v>0.25</v>
      </c>
      <c r="AQ19" s="45">
        <f t="shared" si="14"/>
        <v>101.43131979148841</v>
      </c>
    </row>
    <row r="20" spans="1:43" x14ac:dyDescent="0.25">
      <c r="A20" s="8">
        <v>46040</v>
      </c>
      <c r="B20" s="22">
        <v>115.30719999999999</v>
      </c>
      <c r="C20" s="22">
        <v>138.96</v>
      </c>
      <c r="D20" s="22">
        <v>160.44478599999999</v>
      </c>
      <c r="E20" s="22">
        <v>129.775543</v>
      </c>
      <c r="F20" s="22">
        <v>18527.919999999998</v>
      </c>
      <c r="G20" s="22">
        <v>358.54</v>
      </c>
      <c r="H20" s="22">
        <v>2690.61</v>
      </c>
      <c r="I20" s="22">
        <v>599.48</v>
      </c>
      <c r="J20" s="22">
        <v>389.35</v>
      </c>
      <c r="K20" s="9" t="str">
        <f t="shared" si="15"/>
        <v/>
      </c>
      <c r="L20" s="10">
        <f t="shared" si="1"/>
        <v>2</v>
      </c>
      <c r="M20" s="27">
        <f t="shared" si="2"/>
        <v>115.3124</v>
      </c>
      <c r="N20" s="14">
        <f t="shared" si="3"/>
        <v>138.4</v>
      </c>
      <c r="O20" s="14">
        <f t="shared" si="4"/>
        <v>160.47051999999999</v>
      </c>
      <c r="P20" s="14">
        <f t="shared" si="5"/>
        <v>128.45484099999999</v>
      </c>
      <c r="Q20" s="14">
        <f t="shared" si="6"/>
        <v>18219.490000000002</v>
      </c>
      <c r="R20" s="14">
        <f t="shared" si="7"/>
        <v>351.24</v>
      </c>
      <c r="S20" s="14">
        <f t="shared" si="8"/>
        <v>2604</v>
      </c>
      <c r="T20" s="14">
        <f t="shared" si="9"/>
        <v>601.29999999999995</v>
      </c>
      <c r="U20" s="14">
        <f t="shared" si="10"/>
        <v>389.35</v>
      </c>
      <c r="V20" s="36">
        <f t="shared" si="11"/>
        <v>100</v>
      </c>
      <c r="W20" s="13">
        <f>Weights!$B$9*Index!B20/Index!M20</f>
        <v>2.9998647153298343E-2</v>
      </c>
      <c r="X20" s="13">
        <f>Weights!$B$10*Index!C20/Index!N20</f>
        <v>0.25101156069364161</v>
      </c>
      <c r="Y20" s="13">
        <f>Weights!$B$11*Index!D20/Index!O20</f>
        <v>6.9988774386722255E-2</v>
      </c>
      <c r="Z20" s="13">
        <f>Weights!$B$12*Index!E20/Index!P20</f>
        <v>2.0205628996107668E-2</v>
      </c>
      <c r="AA20" s="13">
        <f>Weights!$B$13*Index!F20/Index!Q20</f>
        <v>0.13220071472911699</v>
      </c>
      <c r="AB20" s="13">
        <f>Weights!$B$14*Index!G20/Index!R20</f>
        <v>0.20415670197016289</v>
      </c>
      <c r="AC20" s="13">
        <f>Weights!$B$15*Index!H20/Index!S20</f>
        <v>5.1663018433179733E-2</v>
      </c>
      <c r="AD20" s="13">
        <f>Weights!$B$16*Index!I20/Index!T20</f>
        <v>0</v>
      </c>
      <c r="AE20" s="13">
        <f>Weights!$B$17*Index!J20/Index!U20</f>
        <v>0.25</v>
      </c>
      <c r="AF20" s="20">
        <f t="shared" si="12"/>
        <v>100.92250463622294</v>
      </c>
      <c r="AG20" s="35">
        <f t="shared" si="13"/>
        <v>100</v>
      </c>
      <c r="AH20" s="12">
        <f>Weights!$E$9*Index!B20/M20</f>
        <v>1.824242056619494E-2</v>
      </c>
      <c r="AI20" s="12">
        <f>Weights!$E$10*Index!C20/N20</f>
        <v>2.0759334478987659E-2</v>
      </c>
      <c r="AJ20" s="12">
        <f>Weights!$E$11*Index!D20/O20</f>
        <v>0</v>
      </c>
      <c r="AK20" s="12">
        <f>Weights!$E$12*Index!E20/P20</f>
        <v>0.18799426437594771</v>
      </c>
      <c r="AL20" s="12">
        <f>Weights!$E$13*Index!F20/Q20</f>
        <v>0.32033250107439881</v>
      </c>
      <c r="AM20" s="12">
        <f>Weights!$E$14*Index!G20/R20</f>
        <v>0</v>
      </c>
      <c r="AN20" s="12">
        <f>Weights!$E$15*Index!H20/S20</f>
        <v>0.21698467741935479</v>
      </c>
      <c r="AO20" s="12">
        <f>Weights!$E$16*Index!I20/T20</f>
        <v>0</v>
      </c>
      <c r="AP20" s="12">
        <f>Weights!$E$17*Index!J20/U20</f>
        <v>0.25</v>
      </c>
      <c r="AQ20" s="45">
        <f t="shared" si="14"/>
        <v>101.43131979148841</v>
      </c>
    </row>
    <row r="21" spans="1:43" x14ac:dyDescent="0.25">
      <c r="A21" s="8">
        <v>46041</v>
      </c>
      <c r="B21" s="22">
        <v>115.30629999999999</v>
      </c>
      <c r="C21" s="22">
        <v>138.93</v>
      </c>
      <c r="D21" s="22">
        <v>160.34593599999999</v>
      </c>
      <c r="E21" s="22">
        <v>128.941259</v>
      </c>
      <c r="F21" s="22">
        <v>18333.86</v>
      </c>
      <c r="G21" s="22">
        <v>357.72</v>
      </c>
      <c r="H21" s="22">
        <v>2667.26</v>
      </c>
      <c r="I21" s="22">
        <v>600.39</v>
      </c>
      <c r="J21" s="22">
        <v>389.35</v>
      </c>
      <c r="K21" s="9" t="str">
        <f t="shared" si="15"/>
        <v/>
      </c>
      <c r="L21" s="10">
        <f t="shared" si="1"/>
        <v>2</v>
      </c>
      <c r="M21" s="27">
        <f t="shared" si="2"/>
        <v>115.3124</v>
      </c>
      <c r="N21" s="14">
        <f t="shared" si="3"/>
        <v>138.4</v>
      </c>
      <c r="O21" s="14">
        <f t="shared" si="4"/>
        <v>160.47051999999999</v>
      </c>
      <c r="P21" s="14">
        <f t="shared" si="5"/>
        <v>128.45484099999999</v>
      </c>
      <c r="Q21" s="14">
        <f t="shared" si="6"/>
        <v>18219.490000000002</v>
      </c>
      <c r="R21" s="14">
        <f t="shared" si="7"/>
        <v>351.24</v>
      </c>
      <c r="S21" s="14">
        <f t="shared" si="8"/>
        <v>2604</v>
      </c>
      <c r="T21" s="14">
        <f t="shared" si="9"/>
        <v>601.29999999999995</v>
      </c>
      <c r="U21" s="14">
        <f t="shared" si="10"/>
        <v>389.35</v>
      </c>
      <c r="V21" s="36">
        <f t="shared" si="11"/>
        <v>100</v>
      </c>
      <c r="W21" s="13">
        <f>Weights!$B$9*Index!B21/Index!M21</f>
        <v>2.9998413006753828E-2</v>
      </c>
      <c r="X21" s="13">
        <f>Weights!$B$10*Index!C21/Index!N21</f>
        <v>0.25095736994219653</v>
      </c>
      <c r="Y21" s="13">
        <f>Weights!$B$11*Index!D21/Index!O21</f>
        <v>6.9945654317067091E-2</v>
      </c>
      <c r="Z21" s="13">
        <f>Weights!$B$12*Index!E21/Index!P21</f>
        <v>2.0075733696949576E-2</v>
      </c>
      <c r="AA21" s="13">
        <f>Weights!$B$13*Index!F21/Index!Q21</f>
        <v>0.13081605467551505</v>
      </c>
      <c r="AB21" s="13">
        <f>Weights!$B$14*Index!G21/Index!R21</f>
        <v>0.20368978476255553</v>
      </c>
      <c r="AC21" s="13">
        <f>Weights!$B$15*Index!H21/Index!S21</f>
        <v>5.1214669738863301E-2</v>
      </c>
      <c r="AD21" s="13">
        <f>Weights!$B$16*Index!I21/Index!T21</f>
        <v>0</v>
      </c>
      <c r="AE21" s="13">
        <f>Weights!$B$17*Index!J21/Index!U21</f>
        <v>0.25</v>
      </c>
      <c r="AF21" s="20">
        <f t="shared" si="12"/>
        <v>100.66976801399008</v>
      </c>
      <c r="AG21" s="35">
        <f t="shared" si="13"/>
        <v>100</v>
      </c>
      <c r="AH21" s="12">
        <f>Weights!$E$9*Index!B21/M21</f>
        <v>1.8242278179782734E-2</v>
      </c>
      <c r="AI21" s="12">
        <f>Weights!$E$10*Index!C21/N21</f>
        <v>2.0754852757381658E-2</v>
      </c>
      <c r="AJ21" s="12">
        <f>Weights!$E$11*Index!D21/O21</f>
        <v>0</v>
      </c>
      <c r="AK21" s="12">
        <f>Weights!$E$12*Index!E21/P21</f>
        <v>0.18678571149121334</v>
      </c>
      <c r="AL21" s="12">
        <f>Weights!$E$13*Index!F21/Q21</f>
        <v>0.31697736325220949</v>
      </c>
      <c r="AM21" s="12">
        <f>Weights!$E$14*Index!G21/R21</f>
        <v>0</v>
      </c>
      <c r="AN21" s="12">
        <f>Weights!$E$15*Index!H21/S21</f>
        <v>0.2151016129032258</v>
      </c>
      <c r="AO21" s="12">
        <f>Weights!$E$16*Index!I21/T21</f>
        <v>0</v>
      </c>
      <c r="AP21" s="12">
        <f>Weights!$E$17*Index!J21/U21</f>
        <v>0.25</v>
      </c>
      <c r="AQ21" s="45">
        <f t="shared" si="14"/>
        <v>100.78618185838131</v>
      </c>
    </row>
    <row r="22" spans="1:43" x14ac:dyDescent="0.25">
      <c r="A22" s="8">
        <v>46042</v>
      </c>
      <c r="B22" s="22">
        <v>115.30589999999999</v>
      </c>
      <c r="C22" s="22">
        <v>138.79</v>
      </c>
      <c r="D22" s="22">
        <v>159.92626000000001</v>
      </c>
      <c r="E22" s="22">
        <v>127.784859</v>
      </c>
      <c r="F22" s="22">
        <v>18198.72</v>
      </c>
      <c r="G22" s="22">
        <v>351.48</v>
      </c>
      <c r="H22" s="22">
        <v>2602.4699999999998</v>
      </c>
      <c r="I22" s="22">
        <v>599.71</v>
      </c>
      <c r="J22" s="22">
        <v>389.35</v>
      </c>
      <c r="K22" s="9" t="str">
        <f t="shared" si="15"/>
        <v/>
      </c>
      <c r="L22" s="10">
        <f t="shared" si="1"/>
        <v>2</v>
      </c>
      <c r="M22" s="27">
        <f t="shared" si="2"/>
        <v>115.3124</v>
      </c>
      <c r="N22" s="14">
        <f t="shared" si="3"/>
        <v>138.4</v>
      </c>
      <c r="O22" s="14">
        <f t="shared" si="4"/>
        <v>160.47051999999999</v>
      </c>
      <c r="P22" s="14">
        <f t="shared" si="5"/>
        <v>128.45484099999999</v>
      </c>
      <c r="Q22" s="14">
        <f t="shared" si="6"/>
        <v>18219.490000000002</v>
      </c>
      <c r="R22" s="14">
        <f t="shared" si="7"/>
        <v>351.24</v>
      </c>
      <c r="S22" s="14">
        <f t="shared" si="8"/>
        <v>2604</v>
      </c>
      <c r="T22" s="14">
        <f t="shared" si="9"/>
        <v>601.29999999999995</v>
      </c>
      <c r="U22" s="14">
        <f t="shared" si="10"/>
        <v>389.35</v>
      </c>
      <c r="V22" s="36">
        <f t="shared" si="11"/>
        <v>100</v>
      </c>
      <c r="W22" s="13">
        <f>Weights!$B$9*Index!B22/Index!M22</f>
        <v>2.9998308941622927E-2</v>
      </c>
      <c r="X22" s="13">
        <f>Weights!$B$10*Index!C22/Index!N22</f>
        <v>0.25070447976878613</v>
      </c>
      <c r="Y22" s="13">
        <f>Weights!$B$11*Index!D22/Index!O22</f>
        <v>6.9762584429837959E-2</v>
      </c>
      <c r="Z22" s="13">
        <f>Weights!$B$12*Index!E22/Index!P22</f>
        <v>1.9895685986641799E-2</v>
      </c>
      <c r="AA22" s="13">
        <f>Weights!$B$13*Index!F22/Index!Q22</f>
        <v>0.12985180155975826</v>
      </c>
      <c r="AB22" s="13">
        <f>Weights!$B$14*Index!G22/Index!R22</f>
        <v>0.20013665869490949</v>
      </c>
      <c r="AC22" s="13">
        <f>Weights!$B$15*Index!H22/Index!S22</f>
        <v>4.9970622119815671E-2</v>
      </c>
      <c r="AD22" s="13">
        <f>Weights!$B$16*Index!I22/Index!T22</f>
        <v>0</v>
      </c>
      <c r="AE22" s="13">
        <f>Weights!$B$17*Index!J22/Index!U22</f>
        <v>0.25</v>
      </c>
      <c r="AF22" s="20">
        <f t="shared" si="12"/>
        <v>100.03201415013723</v>
      </c>
      <c r="AG22" s="35">
        <f t="shared" si="13"/>
        <v>100</v>
      </c>
      <c r="AH22" s="12">
        <f>Weights!$E$9*Index!B22/M22</f>
        <v>1.8242214896932864E-2</v>
      </c>
      <c r="AI22" s="12">
        <f>Weights!$E$10*Index!C22/N22</f>
        <v>2.0733938056553661E-2</v>
      </c>
      <c r="AJ22" s="12">
        <f>Weights!$E$11*Index!D22/O22</f>
        <v>0</v>
      </c>
      <c r="AK22" s="12">
        <f>Weights!$E$12*Index!E22/P22</f>
        <v>0.18511053786220105</v>
      </c>
      <c r="AL22" s="12">
        <f>Weights!$E$13*Index!F22/Q22</f>
        <v>0.31464090377941417</v>
      </c>
      <c r="AM22" s="12">
        <f>Weights!$E$14*Index!G22/R22</f>
        <v>0</v>
      </c>
      <c r="AN22" s="12">
        <f>Weights!$E$15*Index!H22/S22</f>
        <v>0.20987661290322576</v>
      </c>
      <c r="AO22" s="12">
        <f>Weights!$E$16*Index!I22/T22</f>
        <v>0</v>
      </c>
      <c r="AP22" s="12">
        <f>Weights!$E$17*Index!J22/U22</f>
        <v>0.25</v>
      </c>
      <c r="AQ22" s="45">
        <f t="shared" si="14"/>
        <v>99.860420749832755</v>
      </c>
    </row>
    <row r="23" spans="1:43" x14ac:dyDescent="0.25">
      <c r="A23" s="8">
        <v>46043</v>
      </c>
      <c r="B23" s="22">
        <v>115.3056</v>
      </c>
      <c r="C23" s="22">
        <v>138.76</v>
      </c>
      <c r="D23" s="22">
        <v>160.13058000000001</v>
      </c>
      <c r="E23" s="22">
        <v>128.513948</v>
      </c>
      <c r="F23" s="22">
        <v>18205.849999999999</v>
      </c>
      <c r="G23" s="22">
        <v>354.1</v>
      </c>
      <c r="H23" s="22">
        <v>2633.83</v>
      </c>
      <c r="I23" s="22">
        <v>599.64</v>
      </c>
      <c r="J23" s="22">
        <v>389.35</v>
      </c>
      <c r="K23" s="9" t="str">
        <f t="shared" si="15"/>
        <v/>
      </c>
      <c r="L23" s="10">
        <f t="shared" si="1"/>
        <v>2</v>
      </c>
      <c r="M23" s="27">
        <f t="shared" si="2"/>
        <v>115.3124</v>
      </c>
      <c r="N23" s="14">
        <f t="shared" si="3"/>
        <v>138.4</v>
      </c>
      <c r="O23" s="14">
        <f t="shared" si="4"/>
        <v>160.47051999999999</v>
      </c>
      <c r="P23" s="14">
        <f t="shared" si="5"/>
        <v>128.45484099999999</v>
      </c>
      <c r="Q23" s="14">
        <f t="shared" si="6"/>
        <v>18219.490000000002</v>
      </c>
      <c r="R23" s="14">
        <f t="shared" si="7"/>
        <v>351.24</v>
      </c>
      <c r="S23" s="14">
        <f t="shared" si="8"/>
        <v>2604</v>
      </c>
      <c r="T23" s="14">
        <f t="shared" si="9"/>
        <v>601.29999999999995</v>
      </c>
      <c r="U23" s="14">
        <f t="shared" si="10"/>
        <v>389.35</v>
      </c>
      <c r="V23" s="36">
        <f t="shared" si="11"/>
        <v>100</v>
      </c>
      <c r="W23" s="13">
        <f>Weights!$B$9*Index!B23/Index!M23</f>
        <v>2.9998230892774758E-2</v>
      </c>
      <c r="X23" s="13">
        <f>Weights!$B$10*Index!C23/Index!N23</f>
        <v>0.25065028901734099</v>
      </c>
      <c r="Y23" s="13">
        <f>Weights!$B$11*Index!D23/Index!O23</f>
        <v>6.9851712326974458E-2</v>
      </c>
      <c r="Z23" s="13">
        <f>Weights!$B$12*Index!E23/Index!P23</f>
        <v>2.0009202767219961E-2</v>
      </c>
      <c r="AA23" s="13">
        <f>Weights!$B$13*Index!F23/Index!Q23</f>
        <v>0.12990267565118452</v>
      </c>
      <c r="AB23" s="13">
        <f>Weights!$B$14*Index!G23/Index!R23</f>
        <v>0.2016285161143378</v>
      </c>
      <c r="AC23" s="13">
        <f>Weights!$B$15*Index!H23/Index!S23</f>
        <v>5.0572772657450075E-2</v>
      </c>
      <c r="AD23" s="13">
        <f>Weights!$B$16*Index!I23/Index!T23</f>
        <v>0</v>
      </c>
      <c r="AE23" s="13">
        <f>Weights!$B$17*Index!J23/Index!U23</f>
        <v>0.25</v>
      </c>
      <c r="AF23" s="20">
        <f t="shared" si="12"/>
        <v>100.26133994272826</v>
      </c>
      <c r="AG23" s="35">
        <f t="shared" si="13"/>
        <v>100</v>
      </c>
      <c r="AH23" s="12">
        <f>Weights!$E$9*Index!B23/M23</f>
        <v>1.8242167434795464E-2</v>
      </c>
      <c r="AI23" s="12">
        <f>Weights!$E$10*Index!C23/N23</f>
        <v>2.0729456334947664E-2</v>
      </c>
      <c r="AJ23" s="12">
        <f>Weights!$E$11*Index!D23/O23</f>
        <v>0</v>
      </c>
      <c r="AK23" s="12">
        <f>Weights!$E$12*Index!E23/P23</f>
        <v>0.18616670412474251</v>
      </c>
      <c r="AL23" s="12">
        <f>Weights!$E$13*Index!F23/Q23</f>
        <v>0.31476417561633163</v>
      </c>
      <c r="AM23" s="12">
        <f>Weights!$E$14*Index!G23/R23</f>
        <v>0</v>
      </c>
      <c r="AN23" s="12">
        <f>Weights!$E$15*Index!H23/S23</f>
        <v>0.21240564516129026</v>
      </c>
      <c r="AO23" s="12">
        <f>Weights!$E$16*Index!I23/T23</f>
        <v>0</v>
      </c>
      <c r="AP23" s="12">
        <f>Weights!$E$17*Index!J23/U23</f>
        <v>0.25</v>
      </c>
      <c r="AQ23" s="45">
        <f t="shared" si="14"/>
        <v>100.23081486721075</v>
      </c>
    </row>
    <row r="24" spans="1:43" x14ac:dyDescent="0.25">
      <c r="A24" s="8">
        <v>46044</v>
      </c>
      <c r="B24" s="22">
        <v>115.3053</v>
      </c>
      <c r="C24" s="22">
        <v>138.79</v>
      </c>
      <c r="D24" s="22">
        <v>160.22484800000001</v>
      </c>
      <c r="E24" s="22">
        <v>128.20021600000001</v>
      </c>
      <c r="F24" s="22">
        <v>18315.84</v>
      </c>
      <c r="G24" s="22">
        <v>356.26</v>
      </c>
      <c r="H24" s="22">
        <v>2641.11</v>
      </c>
      <c r="I24" s="22">
        <v>599.63</v>
      </c>
      <c r="J24" s="22">
        <v>389.35</v>
      </c>
      <c r="K24" s="9" t="str">
        <f t="shared" si="15"/>
        <v/>
      </c>
      <c r="L24" s="10">
        <f t="shared" si="1"/>
        <v>2</v>
      </c>
      <c r="M24" s="27">
        <f t="shared" si="2"/>
        <v>115.3124</v>
      </c>
      <c r="N24" s="14">
        <f t="shared" si="3"/>
        <v>138.4</v>
      </c>
      <c r="O24" s="14">
        <f t="shared" si="4"/>
        <v>160.47051999999999</v>
      </c>
      <c r="P24" s="14">
        <f t="shared" si="5"/>
        <v>128.45484099999999</v>
      </c>
      <c r="Q24" s="14">
        <f t="shared" si="6"/>
        <v>18219.490000000002</v>
      </c>
      <c r="R24" s="14">
        <f t="shared" si="7"/>
        <v>351.24</v>
      </c>
      <c r="S24" s="14">
        <f t="shared" si="8"/>
        <v>2604</v>
      </c>
      <c r="T24" s="14">
        <f t="shared" si="9"/>
        <v>601.29999999999995</v>
      </c>
      <c r="U24" s="14">
        <f t="shared" si="10"/>
        <v>389.35</v>
      </c>
      <c r="V24" s="36">
        <f t="shared" si="11"/>
        <v>100</v>
      </c>
      <c r="W24" s="13">
        <f>Weights!$B$9*Index!B24/Index!M24</f>
        <v>2.9998152843926588E-2</v>
      </c>
      <c r="X24" s="13">
        <f>Weights!$B$10*Index!C24/Index!N24</f>
        <v>0.25070447976878613</v>
      </c>
      <c r="Y24" s="13">
        <f>Weights!$B$11*Index!D24/Index!O24</f>
        <v>6.9892833649445416E-2</v>
      </c>
      <c r="Z24" s="13">
        <f>Weights!$B$12*Index!E24/Index!P24</f>
        <v>1.9960355717539683E-2</v>
      </c>
      <c r="AA24" s="13">
        <f>Weights!$B$13*Index!F24/Index!Q24</f>
        <v>0.13068747807979256</v>
      </c>
      <c r="AB24" s="13">
        <f>Weights!$B$14*Index!G24/Index!R24</f>
        <v>0.20285844436852293</v>
      </c>
      <c r="AC24" s="13">
        <f>Weights!$B$15*Index!H24/Index!S24</f>
        <v>5.0712557603686648E-2</v>
      </c>
      <c r="AD24" s="13">
        <f>Weights!$B$16*Index!I24/Index!T24</f>
        <v>0</v>
      </c>
      <c r="AE24" s="13">
        <f>Weights!$B$17*Index!J24/Index!U24</f>
        <v>0.25</v>
      </c>
      <c r="AF24" s="20">
        <f t="shared" si="12"/>
        <v>100.48143020316999</v>
      </c>
      <c r="AG24" s="35">
        <f t="shared" si="13"/>
        <v>100</v>
      </c>
      <c r="AH24" s="12">
        <f>Weights!$E$9*Index!B24/M24</f>
        <v>1.8242119972658059E-2</v>
      </c>
      <c r="AI24" s="12">
        <f>Weights!$E$10*Index!C24/N24</f>
        <v>2.0733938056553661E-2</v>
      </c>
      <c r="AJ24" s="12">
        <f>Weights!$E$11*Index!D24/O24</f>
        <v>0</v>
      </c>
      <c r="AK24" s="12">
        <f>Weights!$E$12*Index!E24/P24</f>
        <v>0.1857122285341361</v>
      </c>
      <c r="AL24" s="12">
        <f>Weights!$E$13*Index!F24/Q24</f>
        <v>0.31666581227026652</v>
      </c>
      <c r="AM24" s="12">
        <f>Weights!$E$14*Index!G24/R24</f>
        <v>0</v>
      </c>
      <c r="AN24" s="12">
        <f>Weights!$E$15*Index!H24/S24</f>
        <v>0.21299274193548384</v>
      </c>
      <c r="AO24" s="12">
        <f>Weights!$E$16*Index!I24/T24</f>
        <v>0</v>
      </c>
      <c r="AP24" s="12">
        <f>Weights!$E$17*Index!J24/U24</f>
        <v>0.25</v>
      </c>
      <c r="AQ24" s="45">
        <f t="shared" si="14"/>
        <v>100.4346840769098</v>
      </c>
    </row>
    <row r="25" spans="1:43" x14ac:dyDescent="0.25">
      <c r="A25" s="8">
        <v>46045</v>
      </c>
      <c r="B25" s="22">
        <v>115.30500000000001</v>
      </c>
      <c r="C25" s="22">
        <v>138.68</v>
      </c>
      <c r="D25" s="22">
        <v>160.260886</v>
      </c>
      <c r="E25" s="22">
        <v>128.10880800000001</v>
      </c>
      <c r="F25" s="22">
        <v>18221.560000000001</v>
      </c>
      <c r="G25" s="22">
        <v>356.38</v>
      </c>
      <c r="H25" s="22">
        <v>2638.22</v>
      </c>
      <c r="I25" s="22">
        <v>602.54999999999995</v>
      </c>
      <c r="J25" s="22">
        <v>389.35</v>
      </c>
      <c r="K25" s="9" t="str">
        <f t="shared" si="15"/>
        <v/>
      </c>
      <c r="L25" s="10">
        <f t="shared" si="1"/>
        <v>2</v>
      </c>
      <c r="M25" s="27">
        <f t="shared" si="2"/>
        <v>115.3124</v>
      </c>
      <c r="N25" s="14">
        <f t="shared" si="3"/>
        <v>138.4</v>
      </c>
      <c r="O25" s="14">
        <f t="shared" si="4"/>
        <v>160.47051999999999</v>
      </c>
      <c r="P25" s="14">
        <f t="shared" si="5"/>
        <v>128.45484099999999</v>
      </c>
      <c r="Q25" s="14">
        <f t="shared" si="6"/>
        <v>18219.490000000002</v>
      </c>
      <c r="R25" s="14">
        <f t="shared" si="7"/>
        <v>351.24</v>
      </c>
      <c r="S25" s="14">
        <f t="shared" si="8"/>
        <v>2604</v>
      </c>
      <c r="T25" s="14">
        <f t="shared" si="9"/>
        <v>601.29999999999995</v>
      </c>
      <c r="U25" s="14">
        <f t="shared" si="10"/>
        <v>389.35</v>
      </c>
      <c r="V25" s="36">
        <f t="shared" si="11"/>
        <v>100</v>
      </c>
      <c r="W25" s="13">
        <f>Weights!$B$9*Index!B25/Index!M25</f>
        <v>2.9998074795078416E-2</v>
      </c>
      <c r="X25" s="13">
        <f>Weights!$B$10*Index!C25/Index!N25</f>
        <v>0.25050578034682081</v>
      </c>
      <c r="Y25" s="13">
        <f>Weights!$B$11*Index!D25/Index!O25</f>
        <v>6.990855404469308E-2</v>
      </c>
      <c r="Z25" s="13">
        <f>Weights!$B$12*Index!E25/Index!P25</f>
        <v>1.9946123789916181E-2</v>
      </c>
      <c r="AA25" s="13">
        <f>Weights!$B$13*Index!F25/Index!Q25</f>
        <v>0.13001476989751087</v>
      </c>
      <c r="AB25" s="13">
        <f>Weights!$B$14*Index!G25/Index!R25</f>
        <v>0.20292677371597767</v>
      </c>
      <c r="AC25" s="13">
        <f>Weights!$B$15*Index!H25/Index!S25</f>
        <v>5.0657066052227341E-2</v>
      </c>
      <c r="AD25" s="13">
        <f>Weights!$B$16*Index!I25/Index!T25</f>
        <v>0</v>
      </c>
      <c r="AE25" s="13">
        <f>Weights!$B$17*Index!J25/Index!U25</f>
        <v>0.25</v>
      </c>
      <c r="AF25" s="20">
        <f t="shared" si="12"/>
        <v>100.39571426422245</v>
      </c>
      <c r="AG25" s="35">
        <f t="shared" si="13"/>
        <v>100</v>
      </c>
      <c r="AH25" s="12">
        <f>Weights!$E$9*Index!B25/M25</f>
        <v>1.8242072510520662E-2</v>
      </c>
      <c r="AI25" s="12">
        <f>Weights!$E$10*Index!C25/N25</f>
        <v>2.0717505077331666E-2</v>
      </c>
      <c r="AJ25" s="12">
        <f>Weights!$E$11*Index!D25/O25</f>
        <v>0</v>
      </c>
      <c r="AK25" s="12">
        <f>Weights!$E$12*Index!E25/P25</f>
        <v>0.18557981391023368</v>
      </c>
      <c r="AL25" s="12">
        <f>Weights!$E$13*Index!F25/Q25</f>
        <v>0.31503578859781467</v>
      </c>
      <c r="AM25" s="12">
        <f>Weights!$E$14*Index!G25/R25</f>
        <v>0</v>
      </c>
      <c r="AN25" s="12">
        <f>Weights!$E$15*Index!H25/S25</f>
        <v>0.21275967741935481</v>
      </c>
      <c r="AO25" s="12">
        <f>Weights!$E$16*Index!I25/T25</f>
        <v>0</v>
      </c>
      <c r="AP25" s="12">
        <f>Weights!$E$17*Index!J25/U25</f>
        <v>0.25</v>
      </c>
      <c r="AQ25" s="45">
        <f t="shared" si="14"/>
        <v>100.23348575152555</v>
      </c>
    </row>
    <row r="26" spans="1:43" x14ac:dyDescent="0.25">
      <c r="A26" s="8">
        <v>46046</v>
      </c>
      <c r="B26" s="22">
        <v>115.30500000000001</v>
      </c>
      <c r="C26" s="22">
        <v>138.68</v>
      </c>
      <c r="D26" s="22">
        <v>160.260886</v>
      </c>
      <c r="E26" s="22">
        <v>128.10880800000001</v>
      </c>
      <c r="F26" s="22">
        <v>18221.560000000001</v>
      </c>
      <c r="G26" s="22">
        <v>356.38</v>
      </c>
      <c r="H26" s="22">
        <v>2638.22</v>
      </c>
      <c r="I26" s="22">
        <v>602.54999999999995</v>
      </c>
      <c r="J26" s="22">
        <v>389.35</v>
      </c>
      <c r="K26" s="9" t="str">
        <f t="shared" si="15"/>
        <v/>
      </c>
      <c r="L26" s="10">
        <f t="shared" si="1"/>
        <v>2</v>
      </c>
      <c r="M26" s="27">
        <f t="shared" si="2"/>
        <v>115.3124</v>
      </c>
      <c r="N26" s="14">
        <f t="shared" si="3"/>
        <v>138.4</v>
      </c>
      <c r="O26" s="14">
        <f t="shared" si="4"/>
        <v>160.47051999999999</v>
      </c>
      <c r="P26" s="14">
        <f t="shared" si="5"/>
        <v>128.45484099999999</v>
      </c>
      <c r="Q26" s="14">
        <f t="shared" si="6"/>
        <v>18219.490000000002</v>
      </c>
      <c r="R26" s="14">
        <f t="shared" si="7"/>
        <v>351.24</v>
      </c>
      <c r="S26" s="14">
        <f t="shared" si="8"/>
        <v>2604</v>
      </c>
      <c r="T26" s="14">
        <f t="shared" si="9"/>
        <v>601.29999999999995</v>
      </c>
      <c r="U26" s="14">
        <f t="shared" si="10"/>
        <v>389.35</v>
      </c>
      <c r="V26" s="36">
        <f t="shared" si="11"/>
        <v>100</v>
      </c>
      <c r="W26" s="13">
        <f>Weights!$B$9*Index!B26/Index!M26</f>
        <v>2.9998074795078416E-2</v>
      </c>
      <c r="X26" s="13">
        <f>Weights!$B$10*Index!C26/Index!N26</f>
        <v>0.25050578034682081</v>
      </c>
      <c r="Y26" s="13">
        <f>Weights!$B$11*Index!D26/Index!O26</f>
        <v>6.990855404469308E-2</v>
      </c>
      <c r="Z26" s="13">
        <f>Weights!$B$12*Index!E26/Index!P26</f>
        <v>1.9946123789916181E-2</v>
      </c>
      <c r="AA26" s="13">
        <f>Weights!$B$13*Index!F26/Index!Q26</f>
        <v>0.13001476989751087</v>
      </c>
      <c r="AB26" s="13">
        <f>Weights!$B$14*Index!G26/Index!R26</f>
        <v>0.20292677371597767</v>
      </c>
      <c r="AC26" s="13">
        <f>Weights!$B$15*Index!H26/Index!S26</f>
        <v>5.0657066052227341E-2</v>
      </c>
      <c r="AD26" s="13">
        <f>Weights!$B$16*Index!I26/Index!T26</f>
        <v>0</v>
      </c>
      <c r="AE26" s="13">
        <f>Weights!$B$17*Index!J26/Index!U26</f>
        <v>0.25</v>
      </c>
      <c r="AF26" s="20">
        <f t="shared" si="12"/>
        <v>100.39571426422245</v>
      </c>
      <c r="AG26" s="35">
        <f t="shared" si="13"/>
        <v>100</v>
      </c>
      <c r="AH26" s="12">
        <f>Weights!$E$9*Index!B26/M26</f>
        <v>1.8242072510520662E-2</v>
      </c>
      <c r="AI26" s="12">
        <f>Weights!$E$10*Index!C26/N26</f>
        <v>2.0717505077331666E-2</v>
      </c>
      <c r="AJ26" s="12">
        <f>Weights!$E$11*Index!D26/O26</f>
        <v>0</v>
      </c>
      <c r="AK26" s="12">
        <f>Weights!$E$12*Index!E26/P26</f>
        <v>0.18557981391023368</v>
      </c>
      <c r="AL26" s="12">
        <f>Weights!$E$13*Index!F26/Q26</f>
        <v>0.31503578859781467</v>
      </c>
      <c r="AM26" s="12">
        <f>Weights!$E$14*Index!G26/R26</f>
        <v>0</v>
      </c>
      <c r="AN26" s="12">
        <f>Weights!$E$15*Index!H26/S26</f>
        <v>0.21275967741935481</v>
      </c>
      <c r="AO26" s="12">
        <f>Weights!$E$16*Index!I26/T26</f>
        <v>0</v>
      </c>
      <c r="AP26" s="12">
        <f>Weights!$E$17*Index!J26/U26</f>
        <v>0.25</v>
      </c>
      <c r="AQ26" s="45">
        <f t="shared" si="14"/>
        <v>100.23348575152555</v>
      </c>
    </row>
    <row r="27" spans="1:43" x14ac:dyDescent="0.25">
      <c r="A27" s="8">
        <v>46047</v>
      </c>
      <c r="B27" s="22">
        <v>115.30500000000001</v>
      </c>
      <c r="C27" s="22">
        <v>138.68</v>
      </c>
      <c r="D27" s="22">
        <v>160.260886</v>
      </c>
      <c r="E27" s="22">
        <v>128.10880800000001</v>
      </c>
      <c r="F27" s="22">
        <v>18221.560000000001</v>
      </c>
      <c r="G27" s="22">
        <v>356.38</v>
      </c>
      <c r="H27" s="22">
        <v>2638.22</v>
      </c>
      <c r="I27" s="22">
        <v>602.54999999999995</v>
      </c>
      <c r="J27" s="22">
        <v>389.35</v>
      </c>
      <c r="K27" s="9" t="str">
        <f t="shared" si="15"/>
        <v/>
      </c>
      <c r="L27" s="10">
        <f t="shared" si="1"/>
        <v>2</v>
      </c>
      <c r="M27" s="27">
        <f t="shared" si="2"/>
        <v>115.3124</v>
      </c>
      <c r="N27" s="14">
        <f t="shared" si="3"/>
        <v>138.4</v>
      </c>
      <c r="O27" s="14">
        <f t="shared" si="4"/>
        <v>160.47051999999999</v>
      </c>
      <c r="P27" s="14">
        <f t="shared" si="5"/>
        <v>128.45484099999999</v>
      </c>
      <c r="Q27" s="14">
        <f t="shared" si="6"/>
        <v>18219.490000000002</v>
      </c>
      <c r="R27" s="14">
        <f t="shared" si="7"/>
        <v>351.24</v>
      </c>
      <c r="S27" s="14">
        <f t="shared" si="8"/>
        <v>2604</v>
      </c>
      <c r="T27" s="14">
        <f t="shared" si="9"/>
        <v>601.29999999999995</v>
      </c>
      <c r="U27" s="14">
        <f t="shared" si="10"/>
        <v>389.35</v>
      </c>
      <c r="V27" s="36">
        <f t="shared" si="11"/>
        <v>100</v>
      </c>
      <c r="W27" s="13">
        <f>Weights!$B$9*Index!B27/Index!M27</f>
        <v>2.9998074795078416E-2</v>
      </c>
      <c r="X27" s="13">
        <f>Weights!$B$10*Index!C27/Index!N27</f>
        <v>0.25050578034682081</v>
      </c>
      <c r="Y27" s="13">
        <f>Weights!$B$11*Index!D27/Index!O27</f>
        <v>6.990855404469308E-2</v>
      </c>
      <c r="Z27" s="13">
        <f>Weights!$B$12*Index!E27/Index!P27</f>
        <v>1.9946123789916181E-2</v>
      </c>
      <c r="AA27" s="13">
        <f>Weights!$B$13*Index!F27/Index!Q27</f>
        <v>0.13001476989751087</v>
      </c>
      <c r="AB27" s="13">
        <f>Weights!$B$14*Index!G27/Index!R27</f>
        <v>0.20292677371597767</v>
      </c>
      <c r="AC27" s="13">
        <f>Weights!$B$15*Index!H27/Index!S27</f>
        <v>5.0657066052227341E-2</v>
      </c>
      <c r="AD27" s="13">
        <f>Weights!$B$16*Index!I27/Index!T27</f>
        <v>0</v>
      </c>
      <c r="AE27" s="13">
        <f>Weights!$B$17*Index!J27/Index!U27</f>
        <v>0.25</v>
      </c>
      <c r="AF27" s="20">
        <f t="shared" si="12"/>
        <v>100.39571426422245</v>
      </c>
      <c r="AG27" s="35">
        <f t="shared" si="13"/>
        <v>100</v>
      </c>
      <c r="AH27" s="12">
        <f>Weights!$E$9*Index!B27/M27</f>
        <v>1.8242072510520662E-2</v>
      </c>
      <c r="AI27" s="12">
        <f>Weights!$E$10*Index!C27/N27</f>
        <v>2.0717505077331666E-2</v>
      </c>
      <c r="AJ27" s="12">
        <f>Weights!$E$11*Index!D27/O27</f>
        <v>0</v>
      </c>
      <c r="AK27" s="12">
        <f>Weights!$E$12*Index!E27/P27</f>
        <v>0.18557981391023368</v>
      </c>
      <c r="AL27" s="12">
        <f>Weights!$E$13*Index!F27/Q27</f>
        <v>0.31503578859781467</v>
      </c>
      <c r="AM27" s="12">
        <f>Weights!$E$14*Index!G27/R27</f>
        <v>0</v>
      </c>
      <c r="AN27" s="12">
        <f>Weights!$E$15*Index!H27/S27</f>
        <v>0.21275967741935481</v>
      </c>
      <c r="AO27" s="12">
        <f>Weights!$E$16*Index!I27/T27</f>
        <v>0</v>
      </c>
      <c r="AP27" s="12">
        <f>Weights!$E$17*Index!J27/U27</f>
        <v>0.25</v>
      </c>
      <c r="AQ27" s="45">
        <f t="shared" si="14"/>
        <v>100.23348575152555</v>
      </c>
    </row>
    <row r="28" spans="1:43" x14ac:dyDescent="0.25">
      <c r="A28" s="8">
        <v>46048</v>
      </c>
      <c r="B28" s="22">
        <v>115.304</v>
      </c>
      <c r="C28" s="22">
        <v>138.83000000000001</v>
      </c>
      <c r="D28" s="22">
        <v>160.47182100000001</v>
      </c>
      <c r="E28" s="22">
        <v>126.63053499999999</v>
      </c>
      <c r="F28" s="22">
        <v>18188.61</v>
      </c>
      <c r="G28" s="22">
        <v>357.17</v>
      </c>
      <c r="H28" s="22">
        <v>2604.2600000000002</v>
      </c>
      <c r="I28" s="22">
        <v>603.29</v>
      </c>
      <c r="J28" s="22">
        <v>389.35</v>
      </c>
      <c r="K28" s="9" t="str">
        <f t="shared" si="15"/>
        <v/>
      </c>
      <c r="L28" s="10">
        <f t="shared" ref="L28:L91" si="16">IF(K27="✔",ROW(K27),L27)</f>
        <v>2</v>
      </c>
      <c r="M28" s="27">
        <f t="shared" si="2"/>
        <v>115.3124</v>
      </c>
      <c r="N28" s="14">
        <f t="shared" si="3"/>
        <v>138.4</v>
      </c>
      <c r="O28" s="14">
        <f t="shared" si="4"/>
        <v>160.47051999999999</v>
      </c>
      <c r="P28" s="14">
        <f t="shared" si="5"/>
        <v>128.45484099999999</v>
      </c>
      <c r="Q28" s="14">
        <f t="shared" si="6"/>
        <v>18219.490000000002</v>
      </c>
      <c r="R28" s="14">
        <f t="shared" si="7"/>
        <v>351.24</v>
      </c>
      <c r="S28" s="14">
        <f t="shared" si="8"/>
        <v>2604</v>
      </c>
      <c r="T28" s="14">
        <f t="shared" si="9"/>
        <v>601.29999999999995</v>
      </c>
      <c r="U28" s="14">
        <f t="shared" si="10"/>
        <v>389.35</v>
      </c>
      <c r="V28" s="36">
        <f t="shared" si="11"/>
        <v>100</v>
      </c>
      <c r="W28" s="13">
        <f>Weights!$B$9*Index!B28/Index!M28</f>
        <v>2.9997814632251173E-2</v>
      </c>
      <c r="X28" s="13">
        <f>Weights!$B$10*Index!C28/Index!N28</f>
        <v>0.25077673410404627</v>
      </c>
      <c r="Y28" s="13">
        <f>Weights!$B$11*Index!D28/Index!O28</f>
        <v>7.0000567518569784E-2</v>
      </c>
      <c r="Z28" s="13">
        <f>Weights!$B$12*Index!E28/Index!P28</f>
        <v>1.9715961502766565E-2</v>
      </c>
      <c r="AA28" s="13">
        <f>Weights!$B$13*Index!F28/Index!Q28</f>
        <v>0.12977966452408929</v>
      </c>
      <c r="AB28" s="13">
        <f>Weights!$B$14*Index!G28/Index!R28</f>
        <v>0.20337660858672135</v>
      </c>
      <c r="AC28" s="13">
        <f>Weights!$B$15*Index!H28/Index!S28</f>
        <v>5.0004992319508459E-2</v>
      </c>
      <c r="AD28" s="13">
        <f>Weights!$B$16*Index!I28/Index!T28</f>
        <v>0</v>
      </c>
      <c r="AE28" s="13">
        <f>Weights!$B$17*Index!J28/Index!U28</f>
        <v>0.25</v>
      </c>
      <c r="AF28" s="20">
        <f t="shared" ref="AF28:AF91" si="17">V28*SUM(W28:AE28)</f>
        <v>100.36523431879529</v>
      </c>
      <c r="AG28" s="35">
        <f t="shared" si="13"/>
        <v>100</v>
      </c>
      <c r="AH28" s="12">
        <f>Weights!$E$9*Index!B28/M28</f>
        <v>1.8241914303395983E-2</v>
      </c>
      <c r="AI28" s="12">
        <f>Weights!$E$10*Index!C28/N28</f>
        <v>2.0739913685361662E-2</v>
      </c>
      <c r="AJ28" s="12">
        <f>Weights!$E$11*Index!D28/O28</f>
        <v>0</v>
      </c>
      <c r="AK28" s="12">
        <f>Weights!$E$12*Index!E28/P28</f>
        <v>0.18343837154938894</v>
      </c>
      <c r="AL28" s="12">
        <f>Weights!$E$13*Index!F28/Q28</f>
        <v>0.31446611019298559</v>
      </c>
      <c r="AM28" s="12">
        <f>Weights!$E$14*Index!G28/R28</f>
        <v>0</v>
      </c>
      <c r="AN28" s="12">
        <f>Weights!$E$15*Index!H28/S28</f>
        <v>0.21002096774193546</v>
      </c>
      <c r="AO28" s="12">
        <f>Weights!$E$16*Index!I28/T28</f>
        <v>0</v>
      </c>
      <c r="AP28" s="12">
        <f>Weights!$E$17*Index!J28/U28</f>
        <v>0.25</v>
      </c>
      <c r="AQ28" s="45">
        <f t="shared" ref="AQ28:AQ91" si="18">AG28*SUM(AH28:AP28)</f>
        <v>99.690727747306767</v>
      </c>
    </row>
    <row r="29" spans="1:43" x14ac:dyDescent="0.25">
      <c r="A29" s="8">
        <v>46049</v>
      </c>
      <c r="B29" s="22">
        <v>115.30370000000001</v>
      </c>
      <c r="C29" s="22">
        <v>138.97999999999999</v>
      </c>
      <c r="D29" s="22">
        <v>160.353812</v>
      </c>
      <c r="E29" s="22">
        <v>125.790679</v>
      </c>
      <c r="F29" s="22">
        <v>18295.849999999999</v>
      </c>
      <c r="G29" s="22">
        <v>358.66</v>
      </c>
      <c r="H29" s="22">
        <v>2598.86</v>
      </c>
      <c r="I29" s="22">
        <v>604.74</v>
      </c>
      <c r="J29" s="22">
        <v>389.35</v>
      </c>
      <c r="K29" s="9" t="str">
        <f t="shared" si="15"/>
        <v/>
      </c>
      <c r="L29" s="10">
        <f t="shared" si="16"/>
        <v>2</v>
      </c>
      <c r="M29" s="27">
        <f t="shared" si="2"/>
        <v>115.3124</v>
      </c>
      <c r="N29" s="14">
        <f t="shared" si="3"/>
        <v>138.4</v>
      </c>
      <c r="O29" s="14">
        <f t="shared" si="4"/>
        <v>160.47051999999999</v>
      </c>
      <c r="P29" s="14">
        <f t="shared" si="5"/>
        <v>128.45484099999999</v>
      </c>
      <c r="Q29" s="14">
        <f t="shared" si="6"/>
        <v>18219.490000000002</v>
      </c>
      <c r="R29" s="14">
        <f t="shared" si="7"/>
        <v>351.24</v>
      </c>
      <c r="S29" s="14">
        <f t="shared" si="8"/>
        <v>2604</v>
      </c>
      <c r="T29" s="14">
        <f t="shared" si="9"/>
        <v>601.29999999999995</v>
      </c>
      <c r="U29" s="14">
        <f t="shared" si="10"/>
        <v>389.35</v>
      </c>
      <c r="V29" s="36">
        <f t="shared" si="11"/>
        <v>100</v>
      </c>
      <c r="W29" s="13">
        <f>Weights!$B$9*Index!B29/Index!M29</f>
        <v>2.9997736583403E-2</v>
      </c>
      <c r="X29" s="13">
        <f>Weights!$B$10*Index!C29/Index!N29</f>
        <v>0.25104768786127163</v>
      </c>
      <c r="Y29" s="13">
        <f>Weights!$B$11*Index!D29/Index!O29</f>
        <v>6.9949089963689287E-2</v>
      </c>
      <c r="Z29" s="13">
        <f>Weights!$B$12*Index!E29/Index!P29</f>
        <v>1.9585198661372368E-2</v>
      </c>
      <c r="AA29" s="13">
        <f>Weights!$B$13*Index!F29/Index!Q29</f>
        <v>0.13054484510817807</v>
      </c>
      <c r="AB29" s="13">
        <f>Weights!$B$14*Index!G29/Index!R29</f>
        <v>0.20422503131761763</v>
      </c>
      <c r="AC29" s="13">
        <f>Weights!$B$15*Index!H29/Index!S29</f>
        <v>4.9901305683563754E-2</v>
      </c>
      <c r="AD29" s="13">
        <f>Weights!$B$16*Index!I29/Index!T29</f>
        <v>0</v>
      </c>
      <c r="AE29" s="13">
        <f>Weights!$B$17*Index!J29/Index!U29</f>
        <v>0.25</v>
      </c>
      <c r="AF29" s="20">
        <f t="shared" si="17"/>
        <v>100.52508951790958</v>
      </c>
      <c r="AG29" s="35">
        <f t="shared" si="13"/>
        <v>100</v>
      </c>
      <c r="AH29" s="12">
        <f>Weights!$E$9*Index!B29/M29</f>
        <v>1.8241866841258586E-2</v>
      </c>
      <c r="AI29" s="12">
        <f>Weights!$E$10*Index!C29/N29</f>
        <v>2.0762322293391658E-2</v>
      </c>
      <c r="AJ29" s="12">
        <f>Weights!$E$11*Index!D29/O29</f>
        <v>0</v>
      </c>
      <c r="AK29" s="12">
        <f>Weights!$E$12*Index!E29/P29</f>
        <v>0.18222174700479563</v>
      </c>
      <c r="AL29" s="12">
        <f>Weights!$E$13*Index!F29/Q29</f>
        <v>0.31632020160827762</v>
      </c>
      <c r="AM29" s="12">
        <f>Weights!$E$14*Index!G29/R29</f>
        <v>0</v>
      </c>
      <c r="AN29" s="12">
        <f>Weights!$E$15*Index!H29/S29</f>
        <v>0.20958548387096773</v>
      </c>
      <c r="AO29" s="12">
        <f>Weights!$E$16*Index!I29/T29</f>
        <v>0</v>
      </c>
      <c r="AP29" s="12">
        <f>Weights!$E$17*Index!J29/U29</f>
        <v>0.25</v>
      </c>
      <c r="AQ29" s="45">
        <f t="shared" si="18"/>
        <v>99.713162161869136</v>
      </c>
    </row>
    <row r="30" spans="1:43" x14ac:dyDescent="0.25">
      <c r="A30" s="8">
        <v>46050</v>
      </c>
      <c r="B30" s="22">
        <v>115.3034</v>
      </c>
      <c r="C30" s="22">
        <v>139.19999999999999</v>
      </c>
      <c r="D30" s="22">
        <v>160.37917199999998</v>
      </c>
      <c r="E30" s="22">
        <v>126.10673299999999</v>
      </c>
      <c r="F30" s="22">
        <v>18035.490000000002</v>
      </c>
      <c r="G30" s="22">
        <v>358.11</v>
      </c>
      <c r="H30" s="22">
        <v>2599.23</v>
      </c>
      <c r="I30" s="22">
        <v>604.76</v>
      </c>
      <c r="J30" s="22">
        <v>389.35</v>
      </c>
      <c r="K30" s="9" t="str">
        <f t="shared" si="15"/>
        <v/>
      </c>
      <c r="L30" s="10">
        <f t="shared" si="16"/>
        <v>2</v>
      </c>
      <c r="M30" s="27">
        <f t="shared" si="2"/>
        <v>115.3124</v>
      </c>
      <c r="N30" s="14">
        <f t="shared" si="3"/>
        <v>138.4</v>
      </c>
      <c r="O30" s="14">
        <f t="shared" si="4"/>
        <v>160.47051999999999</v>
      </c>
      <c r="P30" s="14">
        <f t="shared" si="5"/>
        <v>128.45484099999999</v>
      </c>
      <c r="Q30" s="14">
        <f t="shared" si="6"/>
        <v>18219.490000000002</v>
      </c>
      <c r="R30" s="14">
        <f t="shared" si="7"/>
        <v>351.24</v>
      </c>
      <c r="S30" s="14">
        <f t="shared" si="8"/>
        <v>2604</v>
      </c>
      <c r="T30" s="14">
        <f t="shared" si="9"/>
        <v>601.29999999999995</v>
      </c>
      <c r="U30" s="14">
        <f t="shared" si="10"/>
        <v>389.35</v>
      </c>
      <c r="V30" s="36">
        <f t="shared" si="11"/>
        <v>100</v>
      </c>
      <c r="W30" s="13">
        <f>Weights!$B$9*Index!B30/Index!M30</f>
        <v>2.9997658534554824E-2</v>
      </c>
      <c r="X30" s="13">
        <f>Weights!$B$10*Index!C30/Index!N30</f>
        <v>0.25144508670520227</v>
      </c>
      <c r="Y30" s="13">
        <f>Weights!$B$11*Index!D30/Index!O30</f>
        <v>6.996015243173638E-2</v>
      </c>
      <c r="Z30" s="13">
        <f>Weights!$B$12*Index!E30/Index!P30</f>
        <v>1.9634407238883274E-2</v>
      </c>
      <c r="AA30" s="13">
        <f>Weights!$B$13*Index!F30/Index!Q30</f>
        <v>0.12868712022125758</v>
      </c>
      <c r="AB30" s="13">
        <f>Weights!$B$14*Index!G30/Index!R30</f>
        <v>0.20391185514178339</v>
      </c>
      <c r="AC30" s="13">
        <f>Weights!$B$15*Index!H30/Index!S30</f>
        <v>4.990841013824885E-2</v>
      </c>
      <c r="AD30" s="13">
        <f>Weights!$B$16*Index!I30/Index!T30</f>
        <v>0</v>
      </c>
      <c r="AE30" s="13">
        <f>Weights!$B$17*Index!J30/Index!U30</f>
        <v>0.25</v>
      </c>
      <c r="AF30" s="20">
        <f t="shared" si="17"/>
        <v>100.35446904116667</v>
      </c>
      <c r="AG30" s="35">
        <f t="shared" si="13"/>
        <v>100</v>
      </c>
      <c r="AH30" s="12">
        <f>Weights!$E$9*Index!B30/M30</f>
        <v>1.8241819379121178E-2</v>
      </c>
      <c r="AI30" s="12">
        <f>Weights!$E$10*Index!C30/N30</f>
        <v>2.0795188251835649E-2</v>
      </c>
      <c r="AJ30" s="12">
        <f>Weights!$E$11*Index!D30/O30</f>
        <v>0</v>
      </c>
      <c r="AK30" s="12">
        <f>Weights!$E$12*Index!E30/P30</f>
        <v>0.18267958626988023</v>
      </c>
      <c r="AL30" s="12">
        <f>Weights!$E$13*Index!F30/Q30</f>
        <v>0.31181879130535484</v>
      </c>
      <c r="AM30" s="12">
        <f>Weights!$E$14*Index!G30/R30</f>
        <v>0</v>
      </c>
      <c r="AN30" s="12">
        <f>Weights!$E$15*Index!H30/S30</f>
        <v>0.20961532258064511</v>
      </c>
      <c r="AO30" s="12">
        <f>Weights!$E$16*Index!I30/T30</f>
        <v>0</v>
      </c>
      <c r="AP30" s="12">
        <f>Weights!$E$17*Index!J30/U30</f>
        <v>0.25</v>
      </c>
      <c r="AQ30" s="45">
        <f t="shared" si="18"/>
        <v>99.315070778683705</v>
      </c>
    </row>
    <row r="31" spans="1:43" x14ac:dyDescent="0.25">
      <c r="A31" s="8">
        <v>46051</v>
      </c>
      <c r="B31" s="22">
        <v>115.3031</v>
      </c>
      <c r="C31" s="22">
        <v>139.49</v>
      </c>
      <c r="D31" s="22">
        <v>160.45946499999999</v>
      </c>
      <c r="E31" s="22">
        <v>125.962335</v>
      </c>
      <c r="F31" s="22">
        <v>18160.810000000001</v>
      </c>
      <c r="G31" s="22">
        <v>357.48</v>
      </c>
      <c r="H31" s="22">
        <v>2591.52</v>
      </c>
      <c r="I31" s="22">
        <v>604.58000000000004</v>
      </c>
      <c r="J31" s="22">
        <v>389.35</v>
      </c>
      <c r="K31" s="9" t="str">
        <f t="shared" si="15"/>
        <v/>
      </c>
      <c r="L31" s="10">
        <f t="shared" si="16"/>
        <v>2</v>
      </c>
      <c r="M31" s="27">
        <f t="shared" si="2"/>
        <v>115.3124</v>
      </c>
      <c r="N31" s="14">
        <f t="shared" si="3"/>
        <v>138.4</v>
      </c>
      <c r="O31" s="14">
        <f t="shared" si="4"/>
        <v>160.47051999999999</v>
      </c>
      <c r="P31" s="14">
        <f t="shared" si="5"/>
        <v>128.45484099999999</v>
      </c>
      <c r="Q31" s="14">
        <f t="shared" si="6"/>
        <v>18219.490000000002</v>
      </c>
      <c r="R31" s="14">
        <f t="shared" si="7"/>
        <v>351.24</v>
      </c>
      <c r="S31" s="14">
        <f t="shared" si="8"/>
        <v>2604</v>
      </c>
      <c r="T31" s="14">
        <f t="shared" si="9"/>
        <v>601.29999999999995</v>
      </c>
      <c r="U31" s="14">
        <f t="shared" si="10"/>
        <v>389.35</v>
      </c>
      <c r="V31" s="36">
        <f t="shared" si="11"/>
        <v>100</v>
      </c>
      <c r="W31" s="13">
        <f>Weights!$B$9*Index!B31/Index!M31</f>
        <v>2.9997580485706651E-2</v>
      </c>
      <c r="X31" s="13">
        <f>Weights!$B$10*Index!C31/Index!N31</f>
        <v>0.25196893063583814</v>
      </c>
      <c r="Y31" s="13">
        <f>Weights!$B$11*Index!D31/Index!O31</f>
        <v>6.9995177618917173E-2</v>
      </c>
      <c r="Z31" s="13">
        <f>Weights!$B$12*Index!E31/Index!P31</f>
        <v>1.9611924940999306E-2</v>
      </c>
      <c r="AA31" s="13">
        <f>Weights!$B$13*Index!F31/Index!Q31</f>
        <v>0.12958130551404018</v>
      </c>
      <c r="AB31" s="13">
        <f>Weights!$B$14*Index!G31/Index!R31</f>
        <v>0.20355312606764608</v>
      </c>
      <c r="AC31" s="13">
        <f>Weights!$B$15*Index!H31/Index!S31</f>
        <v>4.976036866359447E-2</v>
      </c>
      <c r="AD31" s="13">
        <f>Weights!$B$16*Index!I31/Index!T31</f>
        <v>0</v>
      </c>
      <c r="AE31" s="13">
        <f>Weights!$B$17*Index!J31/Index!U31</f>
        <v>0.25</v>
      </c>
      <c r="AF31" s="20">
        <f t="shared" si="17"/>
        <v>100.44684139267419</v>
      </c>
      <c r="AG31" s="35">
        <f t="shared" si="13"/>
        <v>100</v>
      </c>
      <c r="AH31" s="12">
        <f>Weights!$E$9*Index!B31/M31</f>
        <v>1.8241771916983777E-2</v>
      </c>
      <c r="AI31" s="12">
        <f>Weights!$E$10*Index!C31/N31</f>
        <v>2.0838511560693641E-2</v>
      </c>
      <c r="AJ31" s="12">
        <f>Weights!$E$11*Index!D31/O31</f>
        <v>0</v>
      </c>
      <c r="AK31" s="12">
        <f>Weights!$E$12*Index!E31/P31</f>
        <v>0.18247040975510842</v>
      </c>
      <c r="AL31" s="12">
        <f>Weights!$E$13*Index!F31/Q31</f>
        <v>0.31398547105325114</v>
      </c>
      <c r="AM31" s="12">
        <f>Weights!$E$14*Index!G31/R31</f>
        <v>0</v>
      </c>
      <c r="AN31" s="12">
        <f>Weights!$E$15*Index!H31/S31</f>
        <v>0.20899354838709672</v>
      </c>
      <c r="AO31" s="12">
        <f>Weights!$E$16*Index!I31/T31</f>
        <v>0</v>
      </c>
      <c r="AP31" s="12">
        <f>Weights!$E$17*Index!J31/U31</f>
        <v>0.25</v>
      </c>
      <c r="AQ31" s="45">
        <f t="shared" si="18"/>
        <v>99.452971267313373</v>
      </c>
    </row>
    <row r="32" spans="1:43" x14ac:dyDescent="0.25">
      <c r="A32" s="8">
        <v>46052</v>
      </c>
      <c r="B32" s="22">
        <v>115.30240000000001</v>
      </c>
      <c r="C32" s="22">
        <v>139.51</v>
      </c>
      <c r="D32" s="22">
        <v>160.37584100000001</v>
      </c>
      <c r="E32" s="22">
        <v>126.024174</v>
      </c>
      <c r="F32" s="22">
        <v>18220.41</v>
      </c>
      <c r="G32" s="22">
        <v>356.27</v>
      </c>
      <c r="H32" s="22">
        <v>2587.6799999999998</v>
      </c>
      <c r="I32" s="22">
        <v>605.89</v>
      </c>
      <c r="J32" s="22">
        <v>389.35</v>
      </c>
      <c r="K32" s="9" t="str">
        <f t="shared" si="15"/>
        <v/>
      </c>
      <c r="L32" s="10">
        <f t="shared" si="16"/>
        <v>2</v>
      </c>
      <c r="M32" s="27">
        <f t="shared" si="2"/>
        <v>115.3124</v>
      </c>
      <c r="N32" s="14">
        <f t="shared" si="3"/>
        <v>138.4</v>
      </c>
      <c r="O32" s="14">
        <f t="shared" si="4"/>
        <v>160.47051999999999</v>
      </c>
      <c r="P32" s="14">
        <f t="shared" si="5"/>
        <v>128.45484099999999</v>
      </c>
      <c r="Q32" s="14">
        <f t="shared" si="6"/>
        <v>18219.490000000002</v>
      </c>
      <c r="R32" s="14">
        <f t="shared" si="7"/>
        <v>351.24</v>
      </c>
      <c r="S32" s="14">
        <f t="shared" si="8"/>
        <v>2604</v>
      </c>
      <c r="T32" s="14">
        <f t="shared" si="9"/>
        <v>601.29999999999995</v>
      </c>
      <c r="U32" s="14">
        <f t="shared" si="10"/>
        <v>389.35</v>
      </c>
      <c r="V32" s="36">
        <f t="shared" si="11"/>
        <v>100</v>
      </c>
      <c r="W32" s="13">
        <f>Weights!$B$9*Index!B32/Index!M32</f>
        <v>2.9997398371727584E-2</v>
      </c>
      <c r="X32" s="13">
        <f>Weights!$B$10*Index!C32/Index!N32</f>
        <v>0.25200505780346816</v>
      </c>
      <c r="Y32" s="13">
        <f>Weights!$B$11*Index!D32/Index!O32</f>
        <v>6.9958699392262222E-2</v>
      </c>
      <c r="Z32" s="13">
        <f>Weights!$B$12*Index!E32/Index!P32</f>
        <v>1.9621553071713354E-2</v>
      </c>
      <c r="AA32" s="13">
        <f>Weights!$B$13*Index!F32/Index!Q32</f>
        <v>0.13000656439889369</v>
      </c>
      <c r="AB32" s="13">
        <f>Weights!$B$14*Index!G32/Index!R32</f>
        <v>0.20286413848081086</v>
      </c>
      <c r="AC32" s="13">
        <f>Weights!$B$15*Index!H32/Index!S32</f>
        <v>4.9686635944700457E-2</v>
      </c>
      <c r="AD32" s="13">
        <f>Weights!$B$16*Index!I32/Index!T32</f>
        <v>0</v>
      </c>
      <c r="AE32" s="13">
        <f>Weights!$B$17*Index!J32/Index!U32</f>
        <v>0.25</v>
      </c>
      <c r="AF32" s="20">
        <f t="shared" si="17"/>
        <v>100.41400474635765</v>
      </c>
      <c r="AG32" s="35">
        <f t="shared" si="13"/>
        <v>100</v>
      </c>
      <c r="AH32" s="12">
        <f>Weights!$E$9*Index!B32/M32</f>
        <v>1.824166117199651E-2</v>
      </c>
      <c r="AI32" s="12">
        <f>Weights!$E$10*Index!C32/N32</f>
        <v>2.084149937509764E-2</v>
      </c>
      <c r="AJ32" s="12">
        <f>Weights!$E$11*Index!D32/O32</f>
        <v>0</v>
      </c>
      <c r="AK32" s="12">
        <f>Weights!$E$12*Index!E32/P32</f>
        <v>0.1825599904037114</v>
      </c>
      <c r="AL32" s="12">
        <f>Weights!$E$13*Index!F32/Q32</f>
        <v>0.31501590604347313</v>
      </c>
      <c r="AM32" s="12">
        <f>Weights!$E$14*Index!G32/R32</f>
        <v>0</v>
      </c>
      <c r="AN32" s="12">
        <f>Weights!$E$15*Index!H32/S32</f>
        <v>0.20868387096774188</v>
      </c>
      <c r="AO32" s="12">
        <f>Weights!$E$16*Index!I32/T32</f>
        <v>0</v>
      </c>
      <c r="AP32" s="12">
        <f>Weights!$E$17*Index!J32/U32</f>
        <v>0.25</v>
      </c>
      <c r="AQ32" s="45">
        <f t="shared" si="18"/>
        <v>99.534292796202053</v>
      </c>
    </row>
    <row r="33" spans="1:43" x14ac:dyDescent="0.25">
      <c r="A33" s="8">
        <v>46053</v>
      </c>
      <c r="B33" s="22">
        <v>115.30240000000001</v>
      </c>
      <c r="C33" s="22">
        <v>139.51</v>
      </c>
      <c r="D33" s="22">
        <v>160.37584100000001</v>
      </c>
      <c r="E33" s="22">
        <v>126.024174</v>
      </c>
      <c r="F33" s="22">
        <v>18220.41</v>
      </c>
      <c r="G33" s="22">
        <v>356.27</v>
      </c>
      <c r="H33" s="22">
        <v>2587.6799999999998</v>
      </c>
      <c r="I33" s="22">
        <v>605.89</v>
      </c>
      <c r="J33" s="22">
        <v>390.51</v>
      </c>
      <c r="K33" s="9" t="str">
        <f t="shared" si="15"/>
        <v>✔</v>
      </c>
      <c r="L33" s="10">
        <f t="shared" si="16"/>
        <v>2</v>
      </c>
      <c r="M33" s="27">
        <f t="shared" si="2"/>
        <v>115.3124</v>
      </c>
      <c r="N33" s="14">
        <f t="shared" si="3"/>
        <v>138.4</v>
      </c>
      <c r="O33" s="14">
        <f t="shared" si="4"/>
        <v>160.47051999999999</v>
      </c>
      <c r="P33" s="14">
        <f t="shared" si="5"/>
        <v>128.45484099999999</v>
      </c>
      <c r="Q33" s="14">
        <f t="shared" si="6"/>
        <v>18219.490000000002</v>
      </c>
      <c r="R33" s="14">
        <f t="shared" si="7"/>
        <v>351.24</v>
      </c>
      <c r="S33" s="14">
        <f t="shared" si="8"/>
        <v>2604</v>
      </c>
      <c r="T33" s="14">
        <f t="shared" si="9"/>
        <v>601.29999999999995</v>
      </c>
      <c r="U33" s="14">
        <f t="shared" si="10"/>
        <v>389.35</v>
      </c>
      <c r="V33" s="36">
        <f t="shared" si="11"/>
        <v>100</v>
      </c>
      <c r="W33" s="13">
        <f>Weights!$B$9*Index!B33/Index!M33</f>
        <v>2.9997398371727584E-2</v>
      </c>
      <c r="X33" s="13">
        <f>Weights!$B$10*Index!C33/Index!N33</f>
        <v>0.25200505780346816</v>
      </c>
      <c r="Y33" s="13">
        <f>Weights!$B$11*Index!D33/Index!O33</f>
        <v>6.9958699392262222E-2</v>
      </c>
      <c r="Z33" s="13">
        <f>Weights!$B$12*Index!E33/Index!P33</f>
        <v>1.9621553071713354E-2</v>
      </c>
      <c r="AA33" s="13">
        <f>Weights!$B$13*Index!F33/Index!Q33</f>
        <v>0.13000656439889369</v>
      </c>
      <c r="AB33" s="13">
        <f>Weights!$B$14*Index!G33/Index!R33</f>
        <v>0.20286413848081086</v>
      </c>
      <c r="AC33" s="13">
        <f>Weights!$B$15*Index!H33/Index!S33</f>
        <v>4.9686635944700457E-2</v>
      </c>
      <c r="AD33" s="13">
        <f>Weights!$B$16*Index!I33/Index!T33</f>
        <v>0</v>
      </c>
      <c r="AE33" s="13">
        <f>Weights!$B$17*Index!J33/Index!U33</f>
        <v>0.25074483112880441</v>
      </c>
      <c r="AF33" s="20">
        <f t="shared" si="17"/>
        <v>100.48848785923808</v>
      </c>
      <c r="AG33" s="35">
        <f t="shared" si="13"/>
        <v>100</v>
      </c>
      <c r="AH33" s="12">
        <f>Weights!$E$9*Index!B33/M33</f>
        <v>1.824166117199651E-2</v>
      </c>
      <c r="AI33" s="12">
        <f>Weights!$E$10*Index!C33/N33</f>
        <v>2.084149937509764E-2</v>
      </c>
      <c r="AJ33" s="12">
        <f>Weights!$E$11*Index!D33/O33</f>
        <v>0</v>
      </c>
      <c r="AK33" s="12">
        <f>Weights!$E$12*Index!E33/P33</f>
        <v>0.1825599904037114</v>
      </c>
      <c r="AL33" s="12">
        <f>Weights!$E$13*Index!F33/Q33</f>
        <v>0.31501590604347313</v>
      </c>
      <c r="AM33" s="12">
        <f>Weights!$E$14*Index!G33/R33</f>
        <v>0</v>
      </c>
      <c r="AN33" s="12">
        <f>Weights!$E$15*Index!H33/S33</f>
        <v>0.20868387096774188</v>
      </c>
      <c r="AO33" s="12">
        <f>Weights!$E$16*Index!I33/T33</f>
        <v>0</v>
      </c>
      <c r="AP33" s="12">
        <f>Weights!$E$17*Index!J33/U33</f>
        <v>0.25074483112880441</v>
      </c>
      <c r="AQ33" s="45">
        <f t="shared" si="18"/>
        <v>99.608775909082496</v>
      </c>
    </row>
    <row r="34" spans="1:43" x14ac:dyDescent="0.25">
      <c r="A34" s="8">
        <v>46054</v>
      </c>
      <c r="B34" s="22">
        <v>115.30240000000001</v>
      </c>
      <c r="C34" s="22">
        <v>139.51</v>
      </c>
      <c r="D34" s="22">
        <v>160.37584100000001</v>
      </c>
      <c r="E34" s="22">
        <v>126.024174</v>
      </c>
      <c r="F34" s="22">
        <v>18220.41</v>
      </c>
      <c r="G34" s="22">
        <v>356.27</v>
      </c>
      <c r="H34" s="22">
        <v>2587.6799999999998</v>
      </c>
      <c r="I34" s="22">
        <v>605.89</v>
      </c>
      <c r="J34" s="22">
        <v>390.51</v>
      </c>
      <c r="K34" s="9" t="str">
        <f t="shared" si="15"/>
        <v/>
      </c>
      <c r="L34" s="10">
        <f t="shared" si="16"/>
        <v>33</v>
      </c>
      <c r="M34" s="27">
        <f t="shared" si="2"/>
        <v>115.30240000000001</v>
      </c>
      <c r="N34" s="14">
        <f t="shared" si="3"/>
        <v>139.51</v>
      </c>
      <c r="O34" s="14">
        <f t="shared" si="4"/>
        <v>160.37584100000001</v>
      </c>
      <c r="P34" s="14">
        <f t="shared" si="5"/>
        <v>126.024174</v>
      </c>
      <c r="Q34" s="14">
        <f t="shared" si="6"/>
        <v>18220.41</v>
      </c>
      <c r="R34" s="14">
        <f t="shared" si="7"/>
        <v>356.27</v>
      </c>
      <c r="S34" s="14">
        <f t="shared" si="8"/>
        <v>2587.6799999999998</v>
      </c>
      <c r="T34" s="14">
        <f t="shared" si="9"/>
        <v>605.89</v>
      </c>
      <c r="U34" s="14">
        <f t="shared" si="10"/>
        <v>390.51</v>
      </c>
      <c r="V34" s="36">
        <f t="shared" si="11"/>
        <v>100.48848785923808</v>
      </c>
      <c r="W34" s="13">
        <f>Weights!$B$9*Index!B34/Index!M34</f>
        <v>0.03</v>
      </c>
      <c r="X34" s="13">
        <f>Weights!$B$10*Index!C34/Index!N34</f>
        <v>0.25</v>
      </c>
      <c r="Y34" s="13">
        <f>Weights!$B$11*Index!D34/Index!O34</f>
        <v>7.0000000000000007E-2</v>
      </c>
      <c r="Z34" s="13">
        <f>Weights!$B$12*Index!E34/Index!P34</f>
        <v>0.02</v>
      </c>
      <c r="AA34" s="13">
        <f>Weights!$B$13*Index!F34/Index!Q34</f>
        <v>0.13</v>
      </c>
      <c r="AB34" s="13">
        <f>Weights!$B$14*Index!G34/Index!R34</f>
        <v>0.2</v>
      </c>
      <c r="AC34" s="13">
        <f>Weights!$B$15*Index!H34/Index!S34</f>
        <v>4.9999999999999996E-2</v>
      </c>
      <c r="AD34" s="13">
        <f>Weights!$B$16*Index!I34/Index!T34</f>
        <v>0</v>
      </c>
      <c r="AE34" s="13">
        <f>Weights!$B$17*Index!J34/Index!U34</f>
        <v>0.25</v>
      </c>
      <c r="AF34" s="20">
        <f t="shared" si="17"/>
        <v>100.48848785923808</v>
      </c>
      <c r="AG34" s="35">
        <f t="shared" si="13"/>
        <v>99.608775909082496</v>
      </c>
      <c r="AH34" s="12">
        <f>Weights!$E$9*Index!B34/M34</f>
        <v>1.8243243243243244E-2</v>
      </c>
      <c r="AI34" s="12">
        <f>Weights!$E$10*Index!C34/N34</f>
        <v>2.0675675675675676E-2</v>
      </c>
      <c r="AJ34" s="12">
        <f>Weights!$E$11*Index!D34/O34</f>
        <v>0</v>
      </c>
      <c r="AK34" s="12">
        <f>Weights!$E$12*Index!E34/P34</f>
        <v>0.1860810810810811</v>
      </c>
      <c r="AL34" s="12">
        <f>Weights!$E$13*Index!F34/Q34</f>
        <v>0.31499999999999995</v>
      </c>
      <c r="AM34" s="12">
        <f>Weights!$E$14*Index!G34/R34</f>
        <v>0</v>
      </c>
      <c r="AN34" s="12">
        <f>Weights!$E$15*Index!H34/S34</f>
        <v>0.20999999999999994</v>
      </c>
      <c r="AO34" s="12">
        <f>Weights!$E$16*Index!I34/T34</f>
        <v>0</v>
      </c>
      <c r="AP34" s="12">
        <f>Weights!$E$17*Index!J34/U34</f>
        <v>0.25</v>
      </c>
      <c r="AQ34" s="45">
        <f t="shared" si="18"/>
        <v>99.608775909082496</v>
      </c>
    </row>
    <row r="35" spans="1:43" x14ac:dyDescent="0.25">
      <c r="A35" s="8">
        <v>46055</v>
      </c>
      <c r="B35" s="22">
        <v>115.3019</v>
      </c>
      <c r="C35" s="22">
        <v>139.32</v>
      </c>
      <c r="D35" s="22">
        <v>160.23925800000001</v>
      </c>
      <c r="E35" s="22">
        <v>127.32156499999999</v>
      </c>
      <c r="F35" s="22">
        <v>18484.47</v>
      </c>
      <c r="G35" s="22">
        <v>357.9</v>
      </c>
      <c r="H35" s="22">
        <v>2633.11</v>
      </c>
      <c r="I35" s="22">
        <v>608.46</v>
      </c>
      <c r="J35" s="22">
        <v>390.51</v>
      </c>
      <c r="K35" s="9" t="str">
        <f t="shared" si="15"/>
        <v/>
      </c>
      <c r="L35" s="10">
        <f t="shared" si="16"/>
        <v>33</v>
      </c>
      <c r="M35" s="27">
        <f t="shared" ref="M35:M66" si="19">INDEX(B:B,L35)</f>
        <v>115.30240000000001</v>
      </c>
      <c r="N35" s="14">
        <f t="shared" ref="N35:N66" si="20">INDEX(C:C,$L35)</f>
        <v>139.51</v>
      </c>
      <c r="O35" s="14">
        <f t="shared" ref="O35:O66" si="21">INDEX(D:D,$L35)</f>
        <v>160.37584100000001</v>
      </c>
      <c r="P35" s="14">
        <f t="shared" ref="P35:P66" si="22">INDEX(E:E,$L35)</f>
        <v>126.024174</v>
      </c>
      <c r="Q35" s="14">
        <f t="shared" ref="Q35:Q66" si="23">INDEX(F:F,$L35)</f>
        <v>18220.41</v>
      </c>
      <c r="R35" s="14">
        <f t="shared" ref="R35:R66" si="24">INDEX(G:G,$L35)</f>
        <v>356.27</v>
      </c>
      <c r="S35" s="14">
        <f t="shared" ref="S35:S66" si="25">INDEX(H:H,$L35)</f>
        <v>2587.6799999999998</v>
      </c>
      <c r="T35" s="14">
        <f t="shared" ref="T35:T66" si="26">INDEX(I:I,$L35)</f>
        <v>605.89</v>
      </c>
      <c r="U35" s="14">
        <f t="shared" ref="U35:U66" si="27">INDEX(J:J,$L35)</f>
        <v>390.51</v>
      </c>
      <c r="V35" s="36">
        <f t="shared" ref="V35:V66" si="28">INDEX(AF:AF,L35)</f>
        <v>100.48848785923808</v>
      </c>
      <c r="W35" s="13">
        <f>Weights!$B$9*Index!B35/Index!M35</f>
        <v>2.9999869907304615E-2</v>
      </c>
      <c r="X35" s="13">
        <f>Weights!$B$10*Index!C35/Index!N35</f>
        <v>0.24965952261486632</v>
      </c>
      <c r="Y35" s="13">
        <f>Weights!$B$11*Index!D35/Index!O35</f>
        <v>6.9940384973569691E-2</v>
      </c>
      <c r="Z35" s="13">
        <f>Weights!$B$12*Index!E35/Index!P35</f>
        <v>2.0205895576827983E-2</v>
      </c>
      <c r="AA35" s="13">
        <f>Weights!$B$13*Index!F35/Index!Q35</f>
        <v>0.13188403005201313</v>
      </c>
      <c r="AB35" s="13">
        <f>Weights!$B$14*Index!G35/Index!R35</f>
        <v>0.20091503634883656</v>
      </c>
      <c r="AC35" s="13">
        <f>Weights!$B$15*Index!H35/Index!S35</f>
        <v>5.0877813330860083E-2</v>
      </c>
      <c r="AD35" s="13">
        <f>Weights!$B$16*Index!I35/Index!T35</f>
        <v>0</v>
      </c>
      <c r="AE35" s="13">
        <f>Weights!$B$17*Index!J35/Index!U35</f>
        <v>0.25</v>
      </c>
      <c r="AF35" s="20">
        <f t="shared" si="17"/>
        <v>100.83844432442996</v>
      </c>
      <c r="AG35" s="35">
        <f t="shared" ref="AG35:AG66" si="29">INDEX(AQ:AQ,L35)</f>
        <v>99.608775909082496</v>
      </c>
      <c r="AH35" s="12">
        <f>Weights!$E$9*Index!B35/M35</f>
        <v>1.8243164132820375E-2</v>
      </c>
      <c r="AI35" s="12">
        <f>Weights!$E$10*Index!C35/N35</f>
        <v>2.0647517275715972E-2</v>
      </c>
      <c r="AJ35" s="12">
        <f>Weights!$E$11*Index!D35/O35</f>
        <v>0</v>
      </c>
      <c r="AK35" s="12">
        <f>Weights!$E$12*Index!E35/P35</f>
        <v>0.18799674465737928</v>
      </c>
      <c r="AL35" s="12">
        <f>Weights!$E$13*Index!F35/Q35</f>
        <v>0.31956514974141637</v>
      </c>
      <c r="AM35" s="12">
        <f>Weights!$E$14*Index!G35/R35</f>
        <v>0</v>
      </c>
      <c r="AN35" s="12">
        <f>Weights!$E$15*Index!H35/S35</f>
        <v>0.21368681598961231</v>
      </c>
      <c r="AO35" s="12">
        <f>Weights!$E$16*Index!I35/T35</f>
        <v>0</v>
      </c>
      <c r="AP35" s="12">
        <f>Weights!$E$17*Index!J35/U35</f>
        <v>0.25</v>
      </c>
      <c r="AQ35" s="45">
        <f t="shared" si="18"/>
        <v>100.61874831443872</v>
      </c>
    </row>
    <row r="36" spans="1:43" x14ac:dyDescent="0.25">
      <c r="A36" s="8">
        <v>46056</v>
      </c>
      <c r="B36" s="22">
        <v>115.30159999999999</v>
      </c>
      <c r="C36" s="22">
        <v>139.12</v>
      </c>
      <c r="D36" s="22">
        <v>160.18200400000001</v>
      </c>
      <c r="E36" s="22">
        <v>126.403862</v>
      </c>
      <c r="F36" s="22">
        <v>18426.53</v>
      </c>
      <c r="G36" s="22">
        <v>356.3</v>
      </c>
      <c r="H36" s="22">
        <v>2602.4</v>
      </c>
      <c r="I36" s="22">
        <v>610.11</v>
      </c>
      <c r="J36" s="22">
        <v>390.51</v>
      </c>
      <c r="K36" s="9" t="str">
        <f t="shared" si="15"/>
        <v/>
      </c>
      <c r="L36" s="10">
        <f t="shared" si="16"/>
        <v>33</v>
      </c>
      <c r="M36" s="27">
        <f t="shared" si="19"/>
        <v>115.30240000000001</v>
      </c>
      <c r="N36" s="14">
        <f t="shared" si="20"/>
        <v>139.51</v>
      </c>
      <c r="O36" s="14">
        <f t="shared" si="21"/>
        <v>160.37584100000001</v>
      </c>
      <c r="P36" s="14">
        <f t="shared" si="22"/>
        <v>126.024174</v>
      </c>
      <c r="Q36" s="14">
        <f t="shared" si="23"/>
        <v>18220.41</v>
      </c>
      <c r="R36" s="14">
        <f t="shared" si="24"/>
        <v>356.27</v>
      </c>
      <c r="S36" s="14">
        <f t="shared" si="25"/>
        <v>2587.6799999999998</v>
      </c>
      <c r="T36" s="14">
        <f t="shared" si="26"/>
        <v>605.89</v>
      </c>
      <c r="U36" s="14">
        <f t="shared" si="27"/>
        <v>390.51</v>
      </c>
      <c r="V36" s="36">
        <f t="shared" si="28"/>
        <v>100.48848785923808</v>
      </c>
      <c r="W36" s="13">
        <f>Weights!$B$9*Index!B36/Index!M36</f>
        <v>2.9999791851687385E-2</v>
      </c>
      <c r="X36" s="13">
        <f>Weights!$B$10*Index!C36/Index!N36</f>
        <v>0.24930112536735721</v>
      </c>
      <c r="Y36" s="13">
        <f>Weights!$B$11*Index!D36/Index!O36</f>
        <v>6.9915395050056214E-2</v>
      </c>
      <c r="Z36" s="13">
        <f>Weights!$B$12*Index!E36/Index!P36</f>
        <v>2.006025637589182E-2</v>
      </c>
      <c r="AA36" s="13">
        <f>Weights!$B$13*Index!F36/Index!Q36</f>
        <v>0.13147063650049587</v>
      </c>
      <c r="AB36" s="13">
        <f>Weights!$B$14*Index!G36/Index!R36</f>
        <v>0.20001684115979457</v>
      </c>
      <c r="AC36" s="13">
        <f>Weights!$B$15*Index!H36/Index!S36</f>
        <v>5.028442465838126E-2</v>
      </c>
      <c r="AD36" s="13">
        <f>Weights!$B$16*Index!I36/Index!T36</f>
        <v>0</v>
      </c>
      <c r="AE36" s="13">
        <f>Weights!$B$17*Index!J36/Index!U36</f>
        <v>0.25</v>
      </c>
      <c r="AF36" s="20">
        <f t="shared" si="17"/>
        <v>100.59384712094104</v>
      </c>
      <c r="AG36" s="35">
        <f t="shared" si="29"/>
        <v>99.608775909082496</v>
      </c>
      <c r="AH36" s="12">
        <f>Weights!$E$9*Index!B36/M36</f>
        <v>1.8243116666566653E-2</v>
      </c>
      <c r="AI36" s="12">
        <f>Weights!$E$10*Index!C36/N36</f>
        <v>2.0617876854705758E-2</v>
      </c>
      <c r="AJ36" s="12">
        <f>Weights!$E$11*Index!D36/O36</f>
        <v>0</v>
      </c>
      <c r="AK36" s="12">
        <f>Weights!$E$12*Index!E36/P36</f>
        <v>0.18664170965947999</v>
      </c>
      <c r="AL36" s="12">
        <f>Weights!$E$13*Index!F36/Q36</f>
        <v>0.31856346536658608</v>
      </c>
      <c r="AM36" s="12">
        <f>Weights!$E$14*Index!G36/R36</f>
        <v>0</v>
      </c>
      <c r="AN36" s="12">
        <f>Weights!$E$15*Index!H36/S36</f>
        <v>0.21119458356520124</v>
      </c>
      <c r="AO36" s="12">
        <f>Weights!$E$16*Index!I36/T36</f>
        <v>0</v>
      </c>
      <c r="AP36" s="12">
        <f>Weights!$E$17*Index!J36/U36</f>
        <v>0.25</v>
      </c>
      <c r="AQ36" s="45">
        <f t="shared" si="18"/>
        <v>100.13279298737369</v>
      </c>
    </row>
    <row r="37" spans="1:43" x14ac:dyDescent="0.25">
      <c r="A37" s="8">
        <v>46057</v>
      </c>
      <c r="B37" s="22">
        <v>115.3014</v>
      </c>
      <c r="C37" s="22">
        <v>139.28</v>
      </c>
      <c r="D37" s="22">
        <v>160.170672</v>
      </c>
      <c r="E37" s="22">
        <v>126.582538</v>
      </c>
      <c r="F37" s="22">
        <v>18618.55</v>
      </c>
      <c r="G37" s="22">
        <v>355.03</v>
      </c>
      <c r="H37" s="22">
        <v>2598.7399999999998</v>
      </c>
      <c r="I37" s="22">
        <v>613.98</v>
      </c>
      <c r="J37" s="22">
        <v>390.51</v>
      </c>
      <c r="K37" s="9" t="str">
        <f t="shared" si="15"/>
        <v/>
      </c>
      <c r="L37" s="10">
        <f t="shared" si="16"/>
        <v>33</v>
      </c>
      <c r="M37" s="27">
        <f t="shared" si="19"/>
        <v>115.30240000000001</v>
      </c>
      <c r="N37" s="14">
        <f t="shared" si="20"/>
        <v>139.51</v>
      </c>
      <c r="O37" s="14">
        <f t="shared" si="21"/>
        <v>160.37584100000001</v>
      </c>
      <c r="P37" s="14">
        <f t="shared" si="22"/>
        <v>126.024174</v>
      </c>
      <c r="Q37" s="14">
        <f t="shared" si="23"/>
        <v>18220.41</v>
      </c>
      <c r="R37" s="14">
        <f t="shared" si="24"/>
        <v>356.27</v>
      </c>
      <c r="S37" s="14">
        <f t="shared" si="25"/>
        <v>2587.6799999999998</v>
      </c>
      <c r="T37" s="14">
        <f t="shared" si="26"/>
        <v>605.89</v>
      </c>
      <c r="U37" s="14">
        <f t="shared" si="27"/>
        <v>390.51</v>
      </c>
      <c r="V37" s="36">
        <f t="shared" si="28"/>
        <v>100.48848785923808</v>
      </c>
      <c r="W37" s="13">
        <f>Weights!$B$9*Index!B37/Index!M37</f>
        <v>2.9999739814609232E-2</v>
      </c>
      <c r="X37" s="13">
        <f>Weights!$B$10*Index!C37/Index!N37</f>
        <v>0.2495878431653645</v>
      </c>
      <c r="Y37" s="13">
        <f>Weights!$B$11*Index!D37/Index!O37</f>
        <v>6.9910448918550014E-2</v>
      </c>
      <c r="Z37" s="13">
        <f>Weights!$B$12*Index!E37/Index!P37</f>
        <v>2.0088612205464644E-2</v>
      </c>
      <c r="AA37" s="13">
        <f>Weights!$B$13*Index!F37/Index!Q37</f>
        <v>0.1328406715326384</v>
      </c>
      <c r="AB37" s="13">
        <f>Weights!$B$14*Index!G37/Index!R37</f>
        <v>0.19930389872849244</v>
      </c>
      <c r="AC37" s="13">
        <f>Weights!$B$15*Index!H37/Index!S37</f>
        <v>5.021370494033265E-2</v>
      </c>
      <c r="AD37" s="13">
        <f>Weights!$B$16*Index!I37/Index!T37</f>
        <v>0</v>
      </c>
      <c r="AE37" s="13">
        <f>Weights!$B$17*Index!J37/Index!U37</f>
        <v>0.25</v>
      </c>
      <c r="AF37" s="20">
        <f t="shared" si="17"/>
        <v>100.68392985925117</v>
      </c>
      <c r="AG37" s="35">
        <f t="shared" si="29"/>
        <v>99.608775909082496</v>
      </c>
      <c r="AH37" s="12">
        <f>Weights!$E$9*Index!B37/M37</f>
        <v>1.8243085022397507E-2</v>
      </c>
      <c r="AI37" s="12">
        <f>Weights!$E$10*Index!C37/N37</f>
        <v>2.0641589191513932E-2</v>
      </c>
      <c r="AJ37" s="12">
        <f>Weights!$E$11*Index!D37/O37</f>
        <v>0</v>
      </c>
      <c r="AK37" s="12">
        <f>Weights!$E$12*Index!E37/P37</f>
        <v>0.18690553383057307</v>
      </c>
      <c r="AL37" s="12">
        <f>Weights!$E$13*Index!F37/Q37</f>
        <v>0.3218831656367776</v>
      </c>
      <c r="AM37" s="12">
        <f>Weights!$E$14*Index!G37/R37</f>
        <v>0</v>
      </c>
      <c r="AN37" s="12">
        <f>Weights!$E$15*Index!H37/S37</f>
        <v>0.21089756074939711</v>
      </c>
      <c r="AO37" s="12">
        <f>Weights!$E$16*Index!I37/T37</f>
        <v>0</v>
      </c>
      <c r="AP37" s="12">
        <f>Weights!$E$17*Index!J37/U37</f>
        <v>0.25</v>
      </c>
      <c r="AQ37" s="45">
        <f t="shared" si="18"/>
        <v>100.46251619611748</v>
      </c>
    </row>
    <row r="38" spans="1:43" x14ac:dyDescent="0.25">
      <c r="A38" s="8">
        <v>46058</v>
      </c>
      <c r="B38" s="22">
        <v>115.30110000000001</v>
      </c>
      <c r="C38" s="22">
        <v>139.44</v>
      </c>
      <c r="D38" s="22">
        <v>160.53228000000001</v>
      </c>
      <c r="E38" s="22">
        <v>126.765237</v>
      </c>
      <c r="F38" s="22">
        <v>18583.04</v>
      </c>
      <c r="G38" s="22">
        <v>350.94</v>
      </c>
      <c r="H38" s="22">
        <v>2568.5</v>
      </c>
      <c r="I38" s="22">
        <v>613.94000000000005</v>
      </c>
      <c r="J38" s="22">
        <v>390.51</v>
      </c>
      <c r="K38" s="9" t="str">
        <f t="shared" si="15"/>
        <v/>
      </c>
      <c r="L38" s="10">
        <f t="shared" si="16"/>
        <v>33</v>
      </c>
      <c r="M38" s="27">
        <f t="shared" si="19"/>
        <v>115.30240000000001</v>
      </c>
      <c r="N38" s="14">
        <f t="shared" si="20"/>
        <v>139.51</v>
      </c>
      <c r="O38" s="14">
        <f t="shared" si="21"/>
        <v>160.37584100000001</v>
      </c>
      <c r="P38" s="14">
        <f t="shared" si="22"/>
        <v>126.024174</v>
      </c>
      <c r="Q38" s="14">
        <f t="shared" si="23"/>
        <v>18220.41</v>
      </c>
      <c r="R38" s="14">
        <f t="shared" si="24"/>
        <v>356.27</v>
      </c>
      <c r="S38" s="14">
        <f t="shared" si="25"/>
        <v>2587.6799999999998</v>
      </c>
      <c r="T38" s="14">
        <f t="shared" si="26"/>
        <v>605.89</v>
      </c>
      <c r="U38" s="14">
        <f t="shared" si="27"/>
        <v>390.51</v>
      </c>
      <c r="V38" s="36">
        <f t="shared" si="28"/>
        <v>100.48848785923808</v>
      </c>
      <c r="W38" s="13">
        <f>Weights!$B$9*Index!B38/Index!M38</f>
        <v>2.9999661758992009E-2</v>
      </c>
      <c r="X38" s="13">
        <f>Weights!$B$10*Index!C38/Index!N38</f>
        <v>0.24987456096337182</v>
      </c>
      <c r="Y38" s="13">
        <f>Weights!$B$11*Index!D38/Index!O38</f>
        <v>7.0068281668434096E-2</v>
      </c>
      <c r="Z38" s="13">
        <f>Weights!$B$12*Index!E38/Index!P38</f>
        <v>2.0117606483975051E-2</v>
      </c>
      <c r="AA38" s="13">
        <f>Weights!$B$13*Index!F38/Index!Q38</f>
        <v>0.13258731279921801</v>
      </c>
      <c r="AB38" s="13">
        <f>Weights!$B$14*Index!G38/Index!R38</f>
        <v>0.19700788727650378</v>
      </c>
      <c r="AC38" s="13">
        <f>Weights!$B$15*Index!H38/Index!S38</f>
        <v>4.962939776170161E-2</v>
      </c>
      <c r="AD38" s="13">
        <f>Weights!$B$16*Index!I38/Index!T38</f>
        <v>0</v>
      </c>
      <c r="AE38" s="13">
        <f>Weights!$B$17*Index!J38/Index!U38</f>
        <v>0.25</v>
      </c>
      <c r="AF38" s="20">
        <f t="shared" si="17"/>
        <v>100.4166093193478</v>
      </c>
      <c r="AG38" s="35">
        <f t="shared" si="29"/>
        <v>99.608775909082496</v>
      </c>
      <c r="AH38" s="12">
        <f>Weights!$E$9*Index!B38/M38</f>
        <v>1.8243037556143791E-2</v>
      </c>
      <c r="AI38" s="12">
        <f>Weights!$E$10*Index!C38/N38</f>
        <v>2.0665301528322102E-2</v>
      </c>
      <c r="AJ38" s="12">
        <f>Weights!$E$11*Index!D38/O38</f>
        <v>0</v>
      </c>
      <c r="AK38" s="12">
        <f>Weights!$E$12*Index!E38/P38</f>
        <v>0.18717529816509218</v>
      </c>
      <c r="AL38" s="12">
        <f>Weights!$E$13*Index!F38/Q38</f>
        <v>0.32126925793656674</v>
      </c>
      <c r="AM38" s="12">
        <f>Weights!$E$14*Index!G38/R38</f>
        <v>0</v>
      </c>
      <c r="AN38" s="12">
        <f>Weights!$E$15*Index!H38/S38</f>
        <v>0.2084434705991467</v>
      </c>
      <c r="AO38" s="12">
        <f>Weights!$E$16*Index!I38/T38</f>
        <v>0</v>
      </c>
      <c r="AP38" s="12">
        <f>Weights!$E$17*Index!J38/U38</f>
        <v>0.25</v>
      </c>
      <c r="AQ38" s="45">
        <f t="shared" si="18"/>
        <v>100.18614480967469</v>
      </c>
    </row>
    <row r="39" spans="1:43" x14ac:dyDescent="0.25">
      <c r="A39" s="8">
        <v>46059</v>
      </c>
      <c r="B39" s="22">
        <v>115.3008</v>
      </c>
      <c r="C39" s="22">
        <v>139.49</v>
      </c>
      <c r="D39" s="22">
        <v>160.54374200000001</v>
      </c>
      <c r="E39" s="22">
        <v>126.60060799999999</v>
      </c>
      <c r="F39" s="22">
        <v>18638.05</v>
      </c>
      <c r="G39" s="22">
        <v>356.86</v>
      </c>
      <c r="H39" s="22">
        <v>2606.1799999999998</v>
      </c>
      <c r="I39" s="22">
        <v>612.16999999999996</v>
      </c>
      <c r="J39" s="22">
        <v>390.51</v>
      </c>
      <c r="K39" s="9" t="str">
        <f t="shared" si="15"/>
        <v/>
      </c>
      <c r="L39" s="10">
        <f t="shared" si="16"/>
        <v>33</v>
      </c>
      <c r="M39" s="27">
        <f t="shared" si="19"/>
        <v>115.30240000000001</v>
      </c>
      <c r="N39" s="14">
        <f t="shared" si="20"/>
        <v>139.51</v>
      </c>
      <c r="O39" s="14">
        <f t="shared" si="21"/>
        <v>160.37584100000001</v>
      </c>
      <c r="P39" s="14">
        <f t="shared" si="22"/>
        <v>126.024174</v>
      </c>
      <c r="Q39" s="14">
        <f t="shared" si="23"/>
        <v>18220.41</v>
      </c>
      <c r="R39" s="14">
        <f t="shared" si="24"/>
        <v>356.27</v>
      </c>
      <c r="S39" s="14">
        <f t="shared" si="25"/>
        <v>2587.6799999999998</v>
      </c>
      <c r="T39" s="14">
        <f t="shared" si="26"/>
        <v>605.89</v>
      </c>
      <c r="U39" s="14">
        <f t="shared" si="27"/>
        <v>390.51</v>
      </c>
      <c r="V39" s="36">
        <f t="shared" si="28"/>
        <v>100.48848785923808</v>
      </c>
      <c r="W39" s="13">
        <f>Weights!$B$9*Index!B39/Index!M39</f>
        <v>2.9999583703374775E-2</v>
      </c>
      <c r="X39" s="13">
        <f>Weights!$B$10*Index!C39/Index!N39</f>
        <v>0.24996416027524912</v>
      </c>
      <c r="Y39" s="13">
        <f>Weights!$B$11*Index!D39/Index!O39</f>
        <v>7.0073284541653638E-2</v>
      </c>
      <c r="Z39" s="13">
        <f>Weights!$B$12*Index!E39/Index!P39</f>
        <v>2.0091479909243443E-2</v>
      </c>
      <c r="AA39" s="13">
        <f>Weights!$B$13*Index!F39/Index!Q39</f>
        <v>0.13297980122291431</v>
      </c>
      <c r="AB39" s="13">
        <f>Weights!$B$14*Index!G39/Index!R39</f>
        <v>0.20033120947595925</v>
      </c>
      <c r="AC39" s="13">
        <f>Weights!$B$15*Index!H39/Index!S39</f>
        <v>5.0357463055710136E-2</v>
      </c>
      <c r="AD39" s="13">
        <f>Weights!$B$16*Index!I39/Index!T39</f>
        <v>0</v>
      </c>
      <c r="AE39" s="13">
        <f>Weights!$B$17*Index!J39/Index!U39</f>
        <v>0.25</v>
      </c>
      <c r="AF39" s="20">
        <f t="shared" si="17"/>
        <v>100.87004085734722</v>
      </c>
      <c r="AG39" s="35">
        <f t="shared" si="29"/>
        <v>99.608775909082496</v>
      </c>
      <c r="AH39" s="12">
        <f>Weights!$E$9*Index!B39/M39</f>
        <v>1.8242990089890065E-2</v>
      </c>
      <c r="AI39" s="12">
        <f>Weights!$E$10*Index!C39/N39</f>
        <v>2.0672711633574658E-2</v>
      </c>
      <c r="AJ39" s="12">
        <f>Weights!$E$11*Index!D39/O39</f>
        <v>0</v>
      </c>
      <c r="AK39" s="12">
        <f>Weights!$E$12*Index!E39/P39</f>
        <v>0.18693221510154204</v>
      </c>
      <c r="AL39" s="12">
        <f>Weights!$E$13*Index!F39/Q39</f>
        <v>0.3222202875786</v>
      </c>
      <c r="AM39" s="12">
        <f>Weights!$E$14*Index!G39/R39</f>
        <v>0</v>
      </c>
      <c r="AN39" s="12">
        <f>Weights!$E$15*Index!H39/S39</f>
        <v>0.2115013448339825</v>
      </c>
      <c r="AO39" s="12">
        <f>Weights!$E$16*Index!I39/T39</f>
        <v>0</v>
      </c>
      <c r="AP39" s="12">
        <f>Weights!$E$17*Index!J39/U39</f>
        <v>0.25</v>
      </c>
      <c r="AQ39" s="45">
        <f t="shared" si="18"/>
        <v>100.56198699464045</v>
      </c>
    </row>
    <row r="40" spans="1:43" x14ac:dyDescent="0.25">
      <c r="A40" s="8">
        <v>46060</v>
      </c>
      <c r="B40" s="22">
        <v>115.3008</v>
      </c>
      <c r="C40" s="22">
        <v>139.49</v>
      </c>
      <c r="D40" s="22">
        <v>160.54374200000001</v>
      </c>
      <c r="E40" s="22">
        <v>126.60060799999999</v>
      </c>
      <c r="F40" s="22">
        <v>18638.05</v>
      </c>
      <c r="G40" s="22">
        <v>356.86</v>
      </c>
      <c r="H40" s="22">
        <v>2606.1799999999998</v>
      </c>
      <c r="I40" s="22">
        <v>612.16999999999996</v>
      </c>
      <c r="J40" s="22">
        <v>390.51</v>
      </c>
      <c r="K40" s="9" t="str">
        <f t="shared" si="15"/>
        <v/>
      </c>
      <c r="L40" s="10">
        <f t="shared" si="16"/>
        <v>33</v>
      </c>
      <c r="M40" s="27">
        <f t="shared" si="19"/>
        <v>115.30240000000001</v>
      </c>
      <c r="N40" s="14">
        <f t="shared" si="20"/>
        <v>139.51</v>
      </c>
      <c r="O40" s="14">
        <f t="shared" si="21"/>
        <v>160.37584100000001</v>
      </c>
      <c r="P40" s="14">
        <f t="shared" si="22"/>
        <v>126.024174</v>
      </c>
      <c r="Q40" s="14">
        <f t="shared" si="23"/>
        <v>18220.41</v>
      </c>
      <c r="R40" s="14">
        <f t="shared" si="24"/>
        <v>356.27</v>
      </c>
      <c r="S40" s="14">
        <f t="shared" si="25"/>
        <v>2587.6799999999998</v>
      </c>
      <c r="T40" s="14">
        <f t="shared" si="26"/>
        <v>605.89</v>
      </c>
      <c r="U40" s="14">
        <f t="shared" si="27"/>
        <v>390.51</v>
      </c>
      <c r="V40" s="36">
        <f t="shared" si="28"/>
        <v>100.48848785923808</v>
      </c>
      <c r="W40" s="13">
        <f>Weights!$B$9*Index!B40/Index!M40</f>
        <v>2.9999583703374775E-2</v>
      </c>
      <c r="X40" s="13">
        <f>Weights!$B$10*Index!C40/Index!N40</f>
        <v>0.24996416027524912</v>
      </c>
      <c r="Y40" s="13">
        <f>Weights!$B$11*Index!D40/Index!O40</f>
        <v>7.0073284541653638E-2</v>
      </c>
      <c r="Z40" s="13">
        <f>Weights!$B$12*Index!E40/Index!P40</f>
        <v>2.0091479909243443E-2</v>
      </c>
      <c r="AA40" s="13">
        <f>Weights!$B$13*Index!F40/Index!Q40</f>
        <v>0.13297980122291431</v>
      </c>
      <c r="AB40" s="13">
        <f>Weights!$B$14*Index!G40/Index!R40</f>
        <v>0.20033120947595925</v>
      </c>
      <c r="AC40" s="13">
        <f>Weights!$B$15*Index!H40/Index!S40</f>
        <v>5.0357463055710136E-2</v>
      </c>
      <c r="AD40" s="13">
        <f>Weights!$B$16*Index!I40/Index!T40</f>
        <v>0</v>
      </c>
      <c r="AE40" s="13">
        <f>Weights!$B$17*Index!J40/Index!U40</f>
        <v>0.25</v>
      </c>
      <c r="AF40" s="20">
        <f t="shared" si="17"/>
        <v>100.87004085734722</v>
      </c>
      <c r="AG40" s="35">
        <f t="shared" si="29"/>
        <v>99.608775909082496</v>
      </c>
      <c r="AH40" s="12">
        <f>Weights!$E$9*Index!B40/M40</f>
        <v>1.8242990089890065E-2</v>
      </c>
      <c r="AI40" s="12">
        <f>Weights!$E$10*Index!C40/N40</f>
        <v>2.0672711633574658E-2</v>
      </c>
      <c r="AJ40" s="12">
        <f>Weights!$E$11*Index!D40/O40</f>
        <v>0</v>
      </c>
      <c r="AK40" s="12">
        <f>Weights!$E$12*Index!E40/P40</f>
        <v>0.18693221510154204</v>
      </c>
      <c r="AL40" s="12">
        <f>Weights!$E$13*Index!F40/Q40</f>
        <v>0.3222202875786</v>
      </c>
      <c r="AM40" s="12">
        <f>Weights!$E$14*Index!G40/R40</f>
        <v>0</v>
      </c>
      <c r="AN40" s="12">
        <f>Weights!$E$15*Index!H40/S40</f>
        <v>0.2115013448339825</v>
      </c>
      <c r="AO40" s="12">
        <f>Weights!$E$16*Index!I40/T40</f>
        <v>0</v>
      </c>
      <c r="AP40" s="12">
        <f>Weights!$E$17*Index!J40/U40</f>
        <v>0.25</v>
      </c>
      <c r="AQ40" s="45">
        <f t="shared" si="18"/>
        <v>100.56198699464045</v>
      </c>
    </row>
    <row r="41" spans="1:43" x14ac:dyDescent="0.25">
      <c r="A41" s="8">
        <v>46061</v>
      </c>
      <c r="B41" s="22">
        <v>115.3008</v>
      </c>
      <c r="C41" s="22">
        <v>139.49</v>
      </c>
      <c r="D41" s="22">
        <v>160.54374200000001</v>
      </c>
      <c r="E41" s="22">
        <v>126.60060799999999</v>
      </c>
      <c r="F41" s="22">
        <v>18638.05</v>
      </c>
      <c r="G41" s="22">
        <v>356.86</v>
      </c>
      <c r="H41" s="22">
        <v>2606.1799999999998</v>
      </c>
      <c r="I41" s="22">
        <v>612.16999999999996</v>
      </c>
      <c r="J41" s="22">
        <v>390.51</v>
      </c>
      <c r="K41" s="9" t="str">
        <f t="shared" si="15"/>
        <v/>
      </c>
      <c r="L41" s="10">
        <f t="shared" si="16"/>
        <v>33</v>
      </c>
      <c r="M41" s="27">
        <f t="shared" si="19"/>
        <v>115.30240000000001</v>
      </c>
      <c r="N41" s="14">
        <f t="shared" si="20"/>
        <v>139.51</v>
      </c>
      <c r="O41" s="14">
        <f t="shared" si="21"/>
        <v>160.37584100000001</v>
      </c>
      <c r="P41" s="14">
        <f t="shared" si="22"/>
        <v>126.024174</v>
      </c>
      <c r="Q41" s="14">
        <f t="shared" si="23"/>
        <v>18220.41</v>
      </c>
      <c r="R41" s="14">
        <f t="shared" si="24"/>
        <v>356.27</v>
      </c>
      <c r="S41" s="14">
        <f t="shared" si="25"/>
        <v>2587.6799999999998</v>
      </c>
      <c r="T41" s="14">
        <f t="shared" si="26"/>
        <v>605.89</v>
      </c>
      <c r="U41" s="14">
        <f t="shared" si="27"/>
        <v>390.51</v>
      </c>
      <c r="V41" s="36">
        <f t="shared" si="28"/>
        <v>100.48848785923808</v>
      </c>
      <c r="W41" s="13">
        <f>Weights!$B$9*Index!B41/Index!M41</f>
        <v>2.9999583703374775E-2</v>
      </c>
      <c r="X41" s="13">
        <f>Weights!$B$10*Index!C41/Index!N41</f>
        <v>0.24996416027524912</v>
      </c>
      <c r="Y41" s="13">
        <f>Weights!$B$11*Index!D41/Index!O41</f>
        <v>7.0073284541653638E-2</v>
      </c>
      <c r="Z41" s="13">
        <f>Weights!$B$12*Index!E41/Index!P41</f>
        <v>2.0091479909243443E-2</v>
      </c>
      <c r="AA41" s="13">
        <f>Weights!$B$13*Index!F41/Index!Q41</f>
        <v>0.13297980122291431</v>
      </c>
      <c r="AB41" s="13">
        <f>Weights!$B$14*Index!G41/Index!R41</f>
        <v>0.20033120947595925</v>
      </c>
      <c r="AC41" s="13">
        <f>Weights!$B$15*Index!H41/Index!S41</f>
        <v>5.0357463055710136E-2</v>
      </c>
      <c r="AD41" s="13">
        <f>Weights!$B$16*Index!I41/Index!T41</f>
        <v>0</v>
      </c>
      <c r="AE41" s="13">
        <f>Weights!$B$17*Index!J41/Index!U41</f>
        <v>0.25</v>
      </c>
      <c r="AF41" s="20">
        <f t="shared" si="17"/>
        <v>100.87004085734722</v>
      </c>
      <c r="AG41" s="35">
        <f t="shared" si="29"/>
        <v>99.608775909082496</v>
      </c>
      <c r="AH41" s="12">
        <f>Weights!$E$9*Index!B41/M41</f>
        <v>1.8242990089890065E-2</v>
      </c>
      <c r="AI41" s="12">
        <f>Weights!$E$10*Index!C41/N41</f>
        <v>2.0672711633574658E-2</v>
      </c>
      <c r="AJ41" s="12">
        <f>Weights!$E$11*Index!D41/O41</f>
        <v>0</v>
      </c>
      <c r="AK41" s="12">
        <f>Weights!$E$12*Index!E41/P41</f>
        <v>0.18693221510154204</v>
      </c>
      <c r="AL41" s="12">
        <f>Weights!$E$13*Index!F41/Q41</f>
        <v>0.3222202875786</v>
      </c>
      <c r="AM41" s="12">
        <f>Weights!$E$14*Index!G41/R41</f>
        <v>0</v>
      </c>
      <c r="AN41" s="12">
        <f>Weights!$E$15*Index!H41/S41</f>
        <v>0.2115013448339825</v>
      </c>
      <c r="AO41" s="12">
        <f>Weights!$E$16*Index!I41/T41</f>
        <v>0</v>
      </c>
      <c r="AP41" s="12">
        <f>Weights!$E$17*Index!J41/U41</f>
        <v>0.25</v>
      </c>
      <c r="AQ41" s="45">
        <f t="shared" si="18"/>
        <v>100.56198699464045</v>
      </c>
    </row>
    <row r="42" spans="1:43" x14ac:dyDescent="0.25">
      <c r="A42" s="8">
        <v>46062</v>
      </c>
      <c r="B42" s="22">
        <v>115.3</v>
      </c>
      <c r="C42" s="22">
        <v>139.49</v>
      </c>
      <c r="D42" s="22">
        <v>160.55773500000001</v>
      </c>
      <c r="E42" s="22">
        <v>125.59975800000001</v>
      </c>
      <c r="F42" s="22">
        <v>18689.12</v>
      </c>
      <c r="G42" s="22">
        <v>356.86</v>
      </c>
      <c r="H42" s="22">
        <v>2599.84</v>
      </c>
      <c r="I42" s="22">
        <v>609.28</v>
      </c>
      <c r="J42" s="22">
        <v>390.51</v>
      </c>
      <c r="K42" s="9" t="str">
        <f t="shared" si="15"/>
        <v/>
      </c>
      <c r="L42" s="10">
        <f t="shared" si="16"/>
        <v>33</v>
      </c>
      <c r="M42" s="27">
        <f t="shared" si="19"/>
        <v>115.30240000000001</v>
      </c>
      <c r="N42" s="14">
        <f t="shared" si="20"/>
        <v>139.51</v>
      </c>
      <c r="O42" s="14">
        <f t="shared" si="21"/>
        <v>160.37584100000001</v>
      </c>
      <c r="P42" s="14">
        <f t="shared" si="22"/>
        <v>126.024174</v>
      </c>
      <c r="Q42" s="14">
        <f t="shared" si="23"/>
        <v>18220.41</v>
      </c>
      <c r="R42" s="14">
        <f t="shared" si="24"/>
        <v>356.27</v>
      </c>
      <c r="S42" s="14">
        <f t="shared" si="25"/>
        <v>2587.6799999999998</v>
      </c>
      <c r="T42" s="14">
        <f t="shared" si="26"/>
        <v>605.89</v>
      </c>
      <c r="U42" s="14">
        <f t="shared" si="27"/>
        <v>390.51</v>
      </c>
      <c r="V42" s="36">
        <f t="shared" si="28"/>
        <v>100.48848785923808</v>
      </c>
      <c r="W42" s="13">
        <f>Weights!$B$9*Index!B42/Index!M42</f>
        <v>2.9999375555062161E-2</v>
      </c>
      <c r="X42" s="13">
        <f>Weights!$B$10*Index!C42/Index!N42</f>
        <v>0.24996416027524912</v>
      </c>
      <c r="Y42" s="13">
        <f>Weights!$B$11*Index!D42/Index!O42</f>
        <v>7.007939213238483E-2</v>
      </c>
      <c r="Z42" s="13">
        <f>Weights!$B$12*Index!E42/Index!P42</f>
        <v>1.9932645303432021E-2</v>
      </c>
      <c r="AA42" s="13">
        <f>Weights!$B$13*Index!F42/Index!Q42</f>
        <v>0.13334417831431894</v>
      </c>
      <c r="AB42" s="13">
        <f>Weights!$B$14*Index!G42/Index!R42</f>
        <v>0.20033120947595925</v>
      </c>
      <c r="AC42" s="13">
        <f>Weights!$B$15*Index!H42/Index!S42</f>
        <v>5.0234959500401917E-2</v>
      </c>
      <c r="AD42" s="13">
        <f>Weights!$B$16*Index!I42/Index!T42</f>
        <v>0</v>
      </c>
      <c r="AE42" s="13">
        <f>Weights!$B$17*Index!J42/Index!U42</f>
        <v>0.25</v>
      </c>
      <c r="AF42" s="20">
        <f t="shared" si="17"/>
        <v>100.87897813993287</v>
      </c>
      <c r="AG42" s="35">
        <f t="shared" si="29"/>
        <v>99.608775909082496</v>
      </c>
      <c r="AH42" s="12">
        <f>Weights!$E$9*Index!B42/M42</f>
        <v>1.8242863513213477E-2</v>
      </c>
      <c r="AI42" s="12">
        <f>Weights!$E$10*Index!C42/N42</f>
        <v>2.0672711633574658E-2</v>
      </c>
      <c r="AJ42" s="12">
        <f>Weights!$E$11*Index!D42/O42</f>
        <v>0</v>
      </c>
      <c r="AK42" s="12">
        <f>Weights!$E$12*Index!E42/P42</f>
        <v>0.18545440934341823</v>
      </c>
      <c r="AL42" s="12">
        <f>Weights!$E$13*Index!F42/Q42</f>
        <v>0.32310320130008047</v>
      </c>
      <c r="AM42" s="12">
        <f>Weights!$E$14*Index!G42/R42</f>
        <v>0</v>
      </c>
      <c r="AN42" s="12">
        <f>Weights!$E$15*Index!H42/S42</f>
        <v>0.21098682990168799</v>
      </c>
      <c r="AO42" s="12">
        <f>Weights!$E$16*Index!I42/T42</f>
        <v>0</v>
      </c>
      <c r="AP42" s="12">
        <f>Weights!$E$17*Index!J42/U42</f>
        <v>0.25</v>
      </c>
      <c r="AQ42" s="45">
        <f t="shared" si="18"/>
        <v>100.45146771633173</v>
      </c>
    </row>
    <row r="43" spans="1:43" x14ac:dyDescent="0.25">
      <c r="A43" s="8">
        <v>46063</v>
      </c>
      <c r="B43" s="22">
        <v>115.2998</v>
      </c>
      <c r="C43" s="22">
        <v>139.43</v>
      </c>
      <c r="D43" s="22">
        <v>160.910416</v>
      </c>
      <c r="E43" s="22">
        <v>125.859061</v>
      </c>
      <c r="F43" s="22">
        <v>18691.34</v>
      </c>
      <c r="G43" s="22">
        <v>359.04</v>
      </c>
      <c r="H43" s="22">
        <v>2596.02</v>
      </c>
      <c r="I43" s="22">
        <v>606.21</v>
      </c>
      <c r="J43" s="22">
        <v>390.51</v>
      </c>
      <c r="K43" s="9" t="str">
        <f t="shared" si="15"/>
        <v/>
      </c>
      <c r="L43" s="10">
        <f t="shared" si="16"/>
        <v>33</v>
      </c>
      <c r="M43" s="27">
        <f t="shared" si="19"/>
        <v>115.30240000000001</v>
      </c>
      <c r="N43" s="14">
        <f t="shared" si="20"/>
        <v>139.51</v>
      </c>
      <c r="O43" s="14">
        <f t="shared" si="21"/>
        <v>160.37584100000001</v>
      </c>
      <c r="P43" s="14">
        <f t="shared" si="22"/>
        <v>126.024174</v>
      </c>
      <c r="Q43" s="14">
        <f t="shared" si="23"/>
        <v>18220.41</v>
      </c>
      <c r="R43" s="14">
        <f t="shared" si="24"/>
        <v>356.27</v>
      </c>
      <c r="S43" s="14">
        <f t="shared" si="25"/>
        <v>2587.6799999999998</v>
      </c>
      <c r="T43" s="14">
        <f t="shared" si="26"/>
        <v>605.89</v>
      </c>
      <c r="U43" s="14">
        <f t="shared" si="27"/>
        <v>390.51</v>
      </c>
      <c r="V43" s="36">
        <f t="shared" si="28"/>
        <v>100.48848785923808</v>
      </c>
      <c r="W43" s="13">
        <f>Weights!$B$9*Index!B43/Index!M43</f>
        <v>2.9999323517984015E-2</v>
      </c>
      <c r="X43" s="13">
        <f>Weights!$B$10*Index!C43/Index!N43</f>
        <v>0.24985664110099637</v>
      </c>
      <c r="Y43" s="13">
        <f>Weights!$B$11*Index!D43/Index!O43</f>
        <v>7.0233328472459888E-2</v>
      </c>
      <c r="Z43" s="13">
        <f>Weights!$B$12*Index!E43/Index!P43</f>
        <v>1.9973796614608241E-2</v>
      </c>
      <c r="AA43" s="13">
        <f>Weights!$B$13*Index!F43/Index!Q43</f>
        <v>0.13336001769444267</v>
      </c>
      <c r="AB43" s="13">
        <f>Weights!$B$14*Index!G43/Index!R43</f>
        <v>0.20155500042102903</v>
      </c>
      <c r="AC43" s="13">
        <f>Weights!$B$15*Index!H43/Index!S43</f>
        <v>5.0161148209979606E-2</v>
      </c>
      <c r="AD43" s="13">
        <f>Weights!$B$16*Index!I43/Index!T43</f>
        <v>0</v>
      </c>
      <c r="AE43" s="13">
        <f>Weights!$B$17*Index!J43/Index!U43</f>
        <v>0.25</v>
      </c>
      <c r="AF43" s="20">
        <f t="shared" si="17"/>
        <v>101.00492392656496</v>
      </c>
      <c r="AG43" s="35">
        <f t="shared" si="29"/>
        <v>99.608775909082496</v>
      </c>
      <c r="AH43" s="12">
        <f>Weights!$E$9*Index!B43/M43</f>
        <v>1.8242831869044334E-2</v>
      </c>
      <c r="AI43" s="12">
        <f>Weights!$E$10*Index!C43/N43</f>
        <v>2.0663819507271593E-2</v>
      </c>
      <c r="AJ43" s="12">
        <f>Weights!$E$11*Index!D43/O43</f>
        <v>0</v>
      </c>
      <c r="AK43" s="12">
        <f>Weights!$E$12*Index!E43/P43</f>
        <v>0.18583728336699695</v>
      </c>
      <c r="AL43" s="12">
        <f>Weights!$E$13*Index!F43/Q43</f>
        <v>0.32314158133653409</v>
      </c>
      <c r="AM43" s="12">
        <f>Weights!$E$14*Index!G43/R43</f>
        <v>0</v>
      </c>
      <c r="AN43" s="12">
        <f>Weights!$E$15*Index!H43/S43</f>
        <v>0.2106768224819143</v>
      </c>
      <c r="AO43" s="12">
        <f>Weights!$E$16*Index!I43/T43</f>
        <v>0</v>
      </c>
      <c r="AP43" s="12">
        <f>Weights!$E$17*Index!J43/U43</f>
        <v>0.25</v>
      </c>
      <c r="AQ43" s="45">
        <f t="shared" si="18"/>
        <v>100.46165997213866</v>
      </c>
    </row>
    <row r="44" spans="1:43" x14ac:dyDescent="0.25">
      <c r="A44" s="8">
        <v>46064</v>
      </c>
      <c r="B44" s="22">
        <v>115.29949999999999</v>
      </c>
      <c r="C44" s="22">
        <v>139.36000000000001</v>
      </c>
      <c r="D44" s="22">
        <v>160.80553599999999</v>
      </c>
      <c r="E44" s="22">
        <v>126.859914</v>
      </c>
      <c r="F44" s="22">
        <v>18684.41</v>
      </c>
      <c r="G44" s="22">
        <v>359.18</v>
      </c>
      <c r="H44" s="22">
        <v>2620.1</v>
      </c>
      <c r="I44" s="22">
        <v>604.04999999999995</v>
      </c>
      <c r="J44" s="22">
        <v>390.51</v>
      </c>
      <c r="K44" s="9" t="str">
        <f t="shared" si="15"/>
        <v/>
      </c>
      <c r="L44" s="10">
        <f t="shared" si="16"/>
        <v>33</v>
      </c>
      <c r="M44" s="27">
        <f t="shared" si="19"/>
        <v>115.30240000000001</v>
      </c>
      <c r="N44" s="14">
        <f t="shared" si="20"/>
        <v>139.51</v>
      </c>
      <c r="O44" s="14">
        <f t="shared" si="21"/>
        <v>160.37584100000001</v>
      </c>
      <c r="P44" s="14">
        <f t="shared" si="22"/>
        <v>126.024174</v>
      </c>
      <c r="Q44" s="14">
        <f t="shared" si="23"/>
        <v>18220.41</v>
      </c>
      <c r="R44" s="14">
        <f t="shared" si="24"/>
        <v>356.27</v>
      </c>
      <c r="S44" s="14">
        <f t="shared" si="25"/>
        <v>2587.6799999999998</v>
      </c>
      <c r="T44" s="14">
        <f t="shared" si="26"/>
        <v>605.89</v>
      </c>
      <c r="U44" s="14">
        <f t="shared" si="27"/>
        <v>390.51</v>
      </c>
      <c r="V44" s="36">
        <f t="shared" si="28"/>
        <v>100.48848785923808</v>
      </c>
      <c r="W44" s="13">
        <f>Weights!$B$9*Index!B44/Index!M44</f>
        <v>2.9999245462366781E-2</v>
      </c>
      <c r="X44" s="13">
        <f>Weights!$B$10*Index!C44/Index!N44</f>
        <v>0.24973120206436819</v>
      </c>
      <c r="Y44" s="13">
        <f>Weights!$B$11*Index!D44/Index!O44</f>
        <v>7.0187551004019369E-2</v>
      </c>
      <c r="Z44" s="13">
        <f>Weights!$B$12*Index!E44/Index!P44</f>
        <v>2.0132631696518796E-2</v>
      </c>
      <c r="AA44" s="13">
        <f>Weights!$B$13*Index!F44/Index!Q44</f>
        <v>0.1333105731429754</v>
      </c>
      <c r="AB44" s="13">
        <f>Weights!$B$14*Index!G44/Index!R44</f>
        <v>0.20163359250007018</v>
      </c>
      <c r="AC44" s="13">
        <f>Weights!$B$15*Index!H44/Index!S44</f>
        <v>5.0626429852222841E-2</v>
      </c>
      <c r="AD44" s="13">
        <f>Weights!$B$16*Index!I44/Index!T44</f>
        <v>0</v>
      </c>
      <c r="AE44" s="13">
        <f>Weights!$B$17*Index!J44/Index!U44</f>
        <v>0.25</v>
      </c>
      <c r="AF44" s="20">
        <f t="shared" si="17"/>
        <v>101.05335633201175</v>
      </c>
      <c r="AG44" s="35">
        <f t="shared" si="29"/>
        <v>99.608775909082496</v>
      </c>
      <c r="AH44" s="12">
        <f>Weights!$E$9*Index!B44/M44</f>
        <v>1.8242784402790611E-2</v>
      </c>
      <c r="AI44" s="12">
        <f>Weights!$E$10*Index!C44/N44</f>
        <v>2.0653445359918018E-2</v>
      </c>
      <c r="AJ44" s="12">
        <f>Weights!$E$11*Index!D44/O44</f>
        <v>0</v>
      </c>
      <c r="AK44" s="12">
        <f>Weights!$E$12*Index!E44/P44</f>
        <v>0.18731509355477288</v>
      </c>
      <c r="AL44" s="12">
        <f>Weights!$E$13*Index!F44/Q44</f>
        <v>0.32302177338490184</v>
      </c>
      <c r="AM44" s="12">
        <f>Weights!$E$14*Index!G44/R44</f>
        <v>0</v>
      </c>
      <c r="AN44" s="12">
        <f>Weights!$E$15*Index!H44/S44</f>
        <v>0.21263100537933591</v>
      </c>
      <c r="AO44" s="12">
        <f>Weights!$E$16*Index!I44/T44</f>
        <v>0</v>
      </c>
      <c r="AP44" s="12">
        <f>Weights!$E$17*Index!J44/U44</f>
        <v>0.25</v>
      </c>
      <c r="AQ44" s="45">
        <f t="shared" si="18"/>
        <v>100.79054459470294</v>
      </c>
    </row>
    <row r="45" spans="1:43" x14ac:dyDescent="0.25">
      <c r="A45" s="8">
        <v>46065</v>
      </c>
      <c r="B45" s="22">
        <v>115.2992</v>
      </c>
      <c r="C45" s="22">
        <v>139.54</v>
      </c>
      <c r="D45" s="22">
        <v>161.23421100000002</v>
      </c>
      <c r="E45" s="22">
        <v>126.61443199999999</v>
      </c>
      <c r="F45" s="22">
        <v>18674.099999999999</v>
      </c>
      <c r="G45" s="22">
        <v>354.55</v>
      </c>
      <c r="H45" s="22">
        <v>2573.84</v>
      </c>
      <c r="I45" s="22">
        <v>598.9</v>
      </c>
      <c r="J45" s="22">
        <v>390.51</v>
      </c>
      <c r="K45" s="9" t="str">
        <f t="shared" si="15"/>
        <v/>
      </c>
      <c r="L45" s="10">
        <f t="shared" si="16"/>
        <v>33</v>
      </c>
      <c r="M45" s="27">
        <f t="shared" si="19"/>
        <v>115.30240000000001</v>
      </c>
      <c r="N45" s="14">
        <f t="shared" si="20"/>
        <v>139.51</v>
      </c>
      <c r="O45" s="14">
        <f t="shared" si="21"/>
        <v>160.37584100000001</v>
      </c>
      <c r="P45" s="14">
        <f t="shared" si="22"/>
        <v>126.024174</v>
      </c>
      <c r="Q45" s="14">
        <f t="shared" si="23"/>
        <v>18220.41</v>
      </c>
      <c r="R45" s="14">
        <f t="shared" si="24"/>
        <v>356.27</v>
      </c>
      <c r="S45" s="14">
        <f t="shared" si="25"/>
        <v>2587.6799999999998</v>
      </c>
      <c r="T45" s="14">
        <f t="shared" si="26"/>
        <v>605.89</v>
      </c>
      <c r="U45" s="14">
        <f t="shared" si="27"/>
        <v>390.51</v>
      </c>
      <c r="V45" s="36">
        <f t="shared" si="28"/>
        <v>100.48848785923808</v>
      </c>
      <c r="W45" s="13">
        <f>Weights!$B$9*Index!B45/Index!M45</f>
        <v>2.9999167406749554E-2</v>
      </c>
      <c r="X45" s="13">
        <f>Weights!$B$10*Index!C45/Index!N45</f>
        <v>0.25005375958712639</v>
      </c>
      <c r="Y45" s="13">
        <f>Weights!$B$11*Index!D45/Index!O45</f>
        <v>7.0374656803826222E-2</v>
      </c>
      <c r="Z45" s="13">
        <f>Weights!$B$12*Index!E45/Index!P45</f>
        <v>2.0093673774049095E-2</v>
      </c>
      <c r="AA45" s="13">
        <f>Weights!$B$13*Index!F45/Index!Q45</f>
        <v>0.13323701277852693</v>
      </c>
      <c r="AB45" s="13">
        <f>Weights!$B$14*Index!G45/Index!R45</f>
        <v>0.19903444017177988</v>
      </c>
      <c r="AC45" s="13">
        <f>Weights!$B$15*Index!H45/Index!S45</f>
        <v>4.9732578989674155E-2</v>
      </c>
      <c r="AD45" s="13">
        <f>Weights!$B$16*Index!I45/Index!T45</f>
        <v>0</v>
      </c>
      <c r="AE45" s="13">
        <f>Weights!$B$17*Index!J45/Index!U45</f>
        <v>0.25</v>
      </c>
      <c r="AF45" s="20">
        <f t="shared" si="17"/>
        <v>100.74225038367885</v>
      </c>
      <c r="AG45" s="35">
        <f t="shared" si="29"/>
        <v>99.608775909082496</v>
      </c>
      <c r="AH45" s="12">
        <f>Weights!$E$9*Index!B45/M45</f>
        <v>1.8242736936536892E-2</v>
      </c>
      <c r="AI45" s="12">
        <f>Weights!$E$10*Index!C45/N45</f>
        <v>2.0680121738827207E-2</v>
      </c>
      <c r="AJ45" s="12">
        <f>Weights!$E$11*Index!D45/O45</f>
        <v>0</v>
      </c>
      <c r="AK45" s="12">
        <f>Weights!$E$12*Index!E45/P45</f>
        <v>0.18695262693828113</v>
      </c>
      <c r="AL45" s="12">
        <f>Weights!$E$13*Index!F45/Q45</f>
        <v>0.32284353096335366</v>
      </c>
      <c r="AM45" s="12">
        <f>Weights!$E$14*Index!G45/R45</f>
        <v>0</v>
      </c>
      <c r="AN45" s="12">
        <f>Weights!$E$15*Index!H45/S45</f>
        <v>0.20887683175663144</v>
      </c>
      <c r="AO45" s="12">
        <f>Weights!$E$16*Index!I45/T45</f>
        <v>0</v>
      </c>
      <c r="AP45" s="12">
        <f>Weights!$E$17*Index!J45/U45</f>
        <v>0.25</v>
      </c>
      <c r="AQ45" s="45">
        <f t="shared" si="18"/>
        <v>100.36538906358645</v>
      </c>
    </row>
    <row r="46" spans="1:43" x14ac:dyDescent="0.25">
      <c r="A46" s="8">
        <v>46066</v>
      </c>
      <c r="B46" s="22">
        <v>115.29900000000001</v>
      </c>
      <c r="C46" s="22">
        <v>139.74</v>
      </c>
      <c r="D46" s="22">
        <v>161.51458300000002</v>
      </c>
      <c r="E46" s="22">
        <v>127.035043</v>
      </c>
      <c r="F46" s="22">
        <v>18763.25</v>
      </c>
      <c r="G46" s="22">
        <v>354.37</v>
      </c>
      <c r="H46" s="22">
        <v>2578.6799999999998</v>
      </c>
      <c r="I46" s="22">
        <v>598.4</v>
      </c>
      <c r="J46" s="22">
        <v>390.51</v>
      </c>
      <c r="K46" s="9" t="str">
        <f t="shared" si="15"/>
        <v/>
      </c>
      <c r="L46" s="10">
        <f t="shared" si="16"/>
        <v>33</v>
      </c>
      <c r="M46" s="27">
        <f t="shared" si="19"/>
        <v>115.30240000000001</v>
      </c>
      <c r="N46" s="14">
        <f t="shared" si="20"/>
        <v>139.51</v>
      </c>
      <c r="O46" s="14">
        <f t="shared" si="21"/>
        <v>160.37584100000001</v>
      </c>
      <c r="P46" s="14">
        <f t="shared" si="22"/>
        <v>126.024174</v>
      </c>
      <c r="Q46" s="14">
        <f t="shared" si="23"/>
        <v>18220.41</v>
      </c>
      <c r="R46" s="14">
        <f t="shared" si="24"/>
        <v>356.27</v>
      </c>
      <c r="S46" s="14">
        <f t="shared" si="25"/>
        <v>2587.6799999999998</v>
      </c>
      <c r="T46" s="14">
        <f t="shared" si="26"/>
        <v>605.89</v>
      </c>
      <c r="U46" s="14">
        <f t="shared" si="27"/>
        <v>390.51</v>
      </c>
      <c r="V46" s="36">
        <f t="shared" si="28"/>
        <v>100.48848785923808</v>
      </c>
      <c r="W46" s="13">
        <f>Weights!$B$9*Index!B46/Index!M46</f>
        <v>2.9999115369671401E-2</v>
      </c>
      <c r="X46" s="13">
        <f>Weights!$B$10*Index!C46/Index!N46</f>
        <v>0.25041215683463552</v>
      </c>
      <c r="Y46" s="13">
        <f>Weights!$B$11*Index!D46/Index!O46</f>
        <v>7.0497032093505912E-2</v>
      </c>
      <c r="Z46" s="13">
        <f>Weights!$B$12*Index!E46/Index!P46</f>
        <v>2.0160424618216505E-2</v>
      </c>
      <c r="AA46" s="13">
        <f>Weights!$B$13*Index!F46/Index!Q46</f>
        <v>0.13387308518304475</v>
      </c>
      <c r="AB46" s="13">
        <f>Weights!$B$14*Index!G46/Index!R46</f>
        <v>0.19893339321301265</v>
      </c>
      <c r="AC46" s="13">
        <f>Weights!$B$15*Index!H46/Index!S46</f>
        <v>4.9826099053978855E-2</v>
      </c>
      <c r="AD46" s="13">
        <f>Weights!$B$16*Index!I46/Index!T46</f>
        <v>0</v>
      </c>
      <c r="AE46" s="13">
        <f>Weights!$B$17*Index!J46/Index!U46</f>
        <v>0.25</v>
      </c>
      <c r="AF46" s="20">
        <f t="shared" si="17"/>
        <v>100.86042653906776</v>
      </c>
      <c r="AG46" s="35">
        <f t="shared" si="29"/>
        <v>99.608775909082496</v>
      </c>
      <c r="AH46" s="12">
        <f>Weights!$E$9*Index!B46/M46</f>
        <v>1.8242705292367746E-2</v>
      </c>
      <c r="AI46" s="12">
        <f>Weights!$E$10*Index!C46/N46</f>
        <v>2.0709762159837428E-2</v>
      </c>
      <c r="AJ46" s="12">
        <f>Weights!$E$11*Index!D46/O46</f>
        <v>0</v>
      </c>
      <c r="AK46" s="12">
        <f>Weights!$E$12*Index!E46/P46</f>
        <v>0.1875736804005684</v>
      </c>
      <c r="AL46" s="12">
        <f>Weights!$E$13*Index!F46/Q46</f>
        <v>0.3243847833281468</v>
      </c>
      <c r="AM46" s="12">
        <f>Weights!$E$14*Index!G46/R46</f>
        <v>0</v>
      </c>
      <c r="AN46" s="12">
        <f>Weights!$E$15*Index!H46/S46</f>
        <v>0.20926961602671115</v>
      </c>
      <c r="AO46" s="12">
        <f>Weights!$E$16*Index!I46/T46</f>
        <v>0</v>
      </c>
      <c r="AP46" s="12">
        <f>Weights!$E$17*Index!J46/U46</f>
        <v>0.25</v>
      </c>
      <c r="AQ46" s="45">
        <f t="shared" si="18"/>
        <v>100.6228477545193</v>
      </c>
    </row>
    <row r="47" spans="1:43" x14ac:dyDescent="0.25">
      <c r="A47" s="8">
        <v>46067</v>
      </c>
      <c r="B47" s="22">
        <v>115.29900000000001</v>
      </c>
      <c r="C47" s="22">
        <v>139.74</v>
      </c>
      <c r="D47" s="22">
        <v>161.51458300000002</v>
      </c>
      <c r="E47" s="22">
        <v>127.035043</v>
      </c>
      <c r="F47" s="22">
        <v>18763.25</v>
      </c>
      <c r="G47" s="22">
        <v>354.37</v>
      </c>
      <c r="H47" s="22">
        <v>2578.6799999999998</v>
      </c>
      <c r="I47" s="22">
        <v>598.4</v>
      </c>
      <c r="J47" s="22">
        <v>390.51</v>
      </c>
      <c r="K47" s="9" t="str">
        <f t="shared" si="15"/>
        <v/>
      </c>
      <c r="L47" s="10">
        <f t="shared" si="16"/>
        <v>33</v>
      </c>
      <c r="M47" s="27">
        <f t="shared" si="19"/>
        <v>115.30240000000001</v>
      </c>
      <c r="N47" s="14">
        <f t="shared" si="20"/>
        <v>139.51</v>
      </c>
      <c r="O47" s="14">
        <f t="shared" si="21"/>
        <v>160.37584100000001</v>
      </c>
      <c r="P47" s="14">
        <f t="shared" si="22"/>
        <v>126.024174</v>
      </c>
      <c r="Q47" s="14">
        <f t="shared" si="23"/>
        <v>18220.41</v>
      </c>
      <c r="R47" s="14">
        <f t="shared" si="24"/>
        <v>356.27</v>
      </c>
      <c r="S47" s="14">
        <f t="shared" si="25"/>
        <v>2587.6799999999998</v>
      </c>
      <c r="T47" s="14">
        <f t="shared" si="26"/>
        <v>605.89</v>
      </c>
      <c r="U47" s="14">
        <f t="shared" si="27"/>
        <v>390.51</v>
      </c>
      <c r="V47" s="36">
        <f t="shared" si="28"/>
        <v>100.48848785923808</v>
      </c>
      <c r="W47" s="13">
        <f>Weights!$B$9*Index!B47/Index!M47</f>
        <v>2.9999115369671401E-2</v>
      </c>
      <c r="X47" s="13">
        <f>Weights!$B$10*Index!C47/Index!N47</f>
        <v>0.25041215683463552</v>
      </c>
      <c r="Y47" s="13">
        <f>Weights!$B$11*Index!D47/Index!O47</f>
        <v>7.0497032093505912E-2</v>
      </c>
      <c r="Z47" s="13">
        <f>Weights!$B$12*Index!E47/Index!P47</f>
        <v>2.0160424618216505E-2</v>
      </c>
      <c r="AA47" s="13">
        <f>Weights!$B$13*Index!F47/Index!Q47</f>
        <v>0.13387308518304475</v>
      </c>
      <c r="AB47" s="13">
        <f>Weights!$B$14*Index!G47/Index!R47</f>
        <v>0.19893339321301265</v>
      </c>
      <c r="AC47" s="13">
        <f>Weights!$B$15*Index!H47/Index!S47</f>
        <v>4.9826099053978855E-2</v>
      </c>
      <c r="AD47" s="13">
        <f>Weights!$B$16*Index!I47/Index!T47</f>
        <v>0</v>
      </c>
      <c r="AE47" s="13">
        <f>Weights!$B$17*Index!J47/Index!U47</f>
        <v>0.25</v>
      </c>
      <c r="AF47" s="20">
        <f t="shared" si="17"/>
        <v>100.86042653906776</v>
      </c>
      <c r="AG47" s="35">
        <f t="shared" si="29"/>
        <v>99.608775909082496</v>
      </c>
      <c r="AH47" s="12">
        <f>Weights!$E$9*Index!B47/M47</f>
        <v>1.8242705292367746E-2</v>
      </c>
      <c r="AI47" s="12">
        <f>Weights!$E$10*Index!C47/N47</f>
        <v>2.0709762159837428E-2</v>
      </c>
      <c r="AJ47" s="12">
        <f>Weights!$E$11*Index!D47/O47</f>
        <v>0</v>
      </c>
      <c r="AK47" s="12">
        <f>Weights!$E$12*Index!E47/P47</f>
        <v>0.1875736804005684</v>
      </c>
      <c r="AL47" s="12">
        <f>Weights!$E$13*Index!F47/Q47</f>
        <v>0.3243847833281468</v>
      </c>
      <c r="AM47" s="12">
        <f>Weights!$E$14*Index!G47/R47</f>
        <v>0</v>
      </c>
      <c r="AN47" s="12">
        <f>Weights!$E$15*Index!H47/S47</f>
        <v>0.20926961602671115</v>
      </c>
      <c r="AO47" s="12">
        <f>Weights!$E$16*Index!I47/T47</f>
        <v>0</v>
      </c>
      <c r="AP47" s="12">
        <f>Weights!$E$17*Index!J47/U47</f>
        <v>0.25</v>
      </c>
      <c r="AQ47" s="45">
        <f t="shared" si="18"/>
        <v>100.6228477545193</v>
      </c>
    </row>
    <row r="48" spans="1:43" x14ac:dyDescent="0.25">
      <c r="A48" s="8">
        <v>46068</v>
      </c>
      <c r="B48" s="22">
        <v>115.29900000000001</v>
      </c>
      <c r="C48" s="22">
        <v>139.74</v>
      </c>
      <c r="D48" s="22">
        <v>161.51458300000002</v>
      </c>
      <c r="E48" s="22">
        <v>127.035043</v>
      </c>
      <c r="F48" s="22">
        <v>18763.25</v>
      </c>
      <c r="G48" s="22">
        <v>354.37</v>
      </c>
      <c r="H48" s="22">
        <v>2578.6799999999998</v>
      </c>
      <c r="I48" s="22">
        <v>598.4</v>
      </c>
      <c r="J48" s="22">
        <v>390.51</v>
      </c>
      <c r="K48" s="9" t="str">
        <f t="shared" si="15"/>
        <v/>
      </c>
      <c r="L48" s="10">
        <f t="shared" si="16"/>
        <v>33</v>
      </c>
      <c r="M48" s="27">
        <f t="shared" si="19"/>
        <v>115.30240000000001</v>
      </c>
      <c r="N48" s="14">
        <f t="shared" si="20"/>
        <v>139.51</v>
      </c>
      <c r="O48" s="14">
        <f t="shared" si="21"/>
        <v>160.37584100000001</v>
      </c>
      <c r="P48" s="14">
        <f t="shared" si="22"/>
        <v>126.024174</v>
      </c>
      <c r="Q48" s="14">
        <f t="shared" si="23"/>
        <v>18220.41</v>
      </c>
      <c r="R48" s="14">
        <f t="shared" si="24"/>
        <v>356.27</v>
      </c>
      <c r="S48" s="14">
        <f t="shared" si="25"/>
        <v>2587.6799999999998</v>
      </c>
      <c r="T48" s="14">
        <f t="shared" si="26"/>
        <v>605.89</v>
      </c>
      <c r="U48" s="14">
        <f t="shared" si="27"/>
        <v>390.51</v>
      </c>
      <c r="V48" s="36">
        <f t="shared" si="28"/>
        <v>100.48848785923808</v>
      </c>
      <c r="W48" s="13">
        <f>Weights!$B$9*Index!B48/Index!M48</f>
        <v>2.9999115369671401E-2</v>
      </c>
      <c r="X48" s="13">
        <f>Weights!$B$10*Index!C48/Index!N48</f>
        <v>0.25041215683463552</v>
      </c>
      <c r="Y48" s="13">
        <f>Weights!$B$11*Index!D48/Index!O48</f>
        <v>7.0497032093505912E-2</v>
      </c>
      <c r="Z48" s="13">
        <f>Weights!$B$12*Index!E48/Index!P48</f>
        <v>2.0160424618216505E-2</v>
      </c>
      <c r="AA48" s="13">
        <f>Weights!$B$13*Index!F48/Index!Q48</f>
        <v>0.13387308518304475</v>
      </c>
      <c r="AB48" s="13">
        <f>Weights!$B$14*Index!G48/Index!R48</f>
        <v>0.19893339321301265</v>
      </c>
      <c r="AC48" s="13">
        <f>Weights!$B$15*Index!H48/Index!S48</f>
        <v>4.9826099053978855E-2</v>
      </c>
      <c r="AD48" s="13">
        <f>Weights!$B$16*Index!I48/Index!T48</f>
        <v>0</v>
      </c>
      <c r="AE48" s="13">
        <f>Weights!$B$17*Index!J48/Index!U48</f>
        <v>0.25</v>
      </c>
      <c r="AF48" s="20">
        <f t="shared" si="17"/>
        <v>100.86042653906776</v>
      </c>
      <c r="AG48" s="35">
        <f t="shared" si="29"/>
        <v>99.608775909082496</v>
      </c>
      <c r="AH48" s="12">
        <f>Weights!$E$9*Index!B48/M48</f>
        <v>1.8242705292367746E-2</v>
      </c>
      <c r="AI48" s="12">
        <f>Weights!$E$10*Index!C48/N48</f>
        <v>2.0709762159837428E-2</v>
      </c>
      <c r="AJ48" s="12">
        <f>Weights!$E$11*Index!D48/O48</f>
        <v>0</v>
      </c>
      <c r="AK48" s="12">
        <f>Weights!$E$12*Index!E48/P48</f>
        <v>0.1875736804005684</v>
      </c>
      <c r="AL48" s="12">
        <f>Weights!$E$13*Index!F48/Q48</f>
        <v>0.3243847833281468</v>
      </c>
      <c r="AM48" s="12">
        <f>Weights!$E$14*Index!G48/R48</f>
        <v>0</v>
      </c>
      <c r="AN48" s="12">
        <f>Weights!$E$15*Index!H48/S48</f>
        <v>0.20926961602671115</v>
      </c>
      <c r="AO48" s="12">
        <f>Weights!$E$16*Index!I48/T48</f>
        <v>0</v>
      </c>
      <c r="AP48" s="12">
        <f>Weights!$E$17*Index!J48/U48</f>
        <v>0.25</v>
      </c>
      <c r="AQ48" s="45">
        <f t="shared" si="18"/>
        <v>100.6228477545193</v>
      </c>
    </row>
    <row r="49" spans="1:43" x14ac:dyDescent="0.25">
      <c r="A49" s="8">
        <v>46069</v>
      </c>
      <c r="B49" s="22">
        <v>115.29819999999999</v>
      </c>
      <c r="C49" s="22">
        <v>139.91</v>
      </c>
      <c r="D49" s="22">
        <v>161.48626899999999</v>
      </c>
      <c r="E49" s="22">
        <v>126.91627</v>
      </c>
      <c r="F49" s="22">
        <v>18821.47</v>
      </c>
      <c r="G49" s="22">
        <v>354.1</v>
      </c>
      <c r="H49" s="22">
        <v>2575.1</v>
      </c>
      <c r="I49" s="22">
        <v>604</v>
      </c>
      <c r="J49" s="22">
        <v>390.51</v>
      </c>
      <c r="K49" s="9" t="str">
        <f t="shared" si="15"/>
        <v/>
      </c>
      <c r="L49" s="10">
        <f t="shared" si="16"/>
        <v>33</v>
      </c>
      <c r="M49" s="27">
        <f t="shared" si="19"/>
        <v>115.30240000000001</v>
      </c>
      <c r="N49" s="14">
        <f t="shared" si="20"/>
        <v>139.51</v>
      </c>
      <c r="O49" s="14">
        <f t="shared" si="21"/>
        <v>160.37584100000001</v>
      </c>
      <c r="P49" s="14">
        <f t="shared" si="22"/>
        <v>126.024174</v>
      </c>
      <c r="Q49" s="14">
        <f t="shared" si="23"/>
        <v>18220.41</v>
      </c>
      <c r="R49" s="14">
        <f t="shared" si="24"/>
        <v>356.27</v>
      </c>
      <c r="S49" s="14">
        <f t="shared" si="25"/>
        <v>2587.6799999999998</v>
      </c>
      <c r="T49" s="14">
        <f t="shared" si="26"/>
        <v>605.89</v>
      </c>
      <c r="U49" s="14">
        <f t="shared" si="27"/>
        <v>390.51</v>
      </c>
      <c r="V49" s="36">
        <f t="shared" si="28"/>
        <v>100.48848785923808</v>
      </c>
      <c r="W49" s="13">
        <f>Weights!$B$9*Index!B49/Index!M49</f>
        <v>2.9998907221358787E-2</v>
      </c>
      <c r="X49" s="13">
        <f>Weights!$B$10*Index!C49/Index!N49</f>
        <v>0.25071679449501827</v>
      </c>
      <c r="Y49" s="13">
        <f>Weights!$B$11*Index!D49/Index!O49</f>
        <v>7.0484673748335946E-2</v>
      </c>
      <c r="Z49" s="13">
        <f>Weights!$B$12*Index!E49/Index!P49</f>
        <v>2.0141575377435127E-2</v>
      </c>
      <c r="AA49" s="13">
        <f>Weights!$B$13*Index!F49/Index!Q49</f>
        <v>0.13428847649421721</v>
      </c>
      <c r="AB49" s="13">
        <f>Weights!$B$14*Index!G49/Index!R49</f>
        <v>0.19878182277486178</v>
      </c>
      <c r="AC49" s="13">
        <f>Weights!$B$15*Index!H49/Index!S49</f>
        <v>4.9756925122117109E-2</v>
      </c>
      <c r="AD49" s="13">
        <f>Weights!$B$16*Index!I49/Index!T49</f>
        <v>0</v>
      </c>
      <c r="AE49" s="13">
        <f>Weights!$B$17*Index!J49/Index!U49</f>
        <v>0.25</v>
      </c>
      <c r="AF49" s="20">
        <f t="shared" si="17"/>
        <v>100.90744197405704</v>
      </c>
      <c r="AG49" s="35">
        <f t="shared" si="29"/>
        <v>99.608775909082496</v>
      </c>
      <c r="AH49" s="12">
        <f>Weights!$E$9*Index!B49/M49</f>
        <v>1.8242578715691155E-2</v>
      </c>
      <c r="AI49" s="12">
        <f>Weights!$E$10*Index!C49/N49</f>
        <v>2.0734956517696107E-2</v>
      </c>
      <c r="AJ49" s="12">
        <f>Weights!$E$11*Index!D49/O49</f>
        <v>0</v>
      </c>
      <c r="AK49" s="12">
        <f>Weights!$E$12*Index!E49/P49</f>
        <v>0.18739830604546059</v>
      </c>
      <c r="AL49" s="12">
        <f>Weights!$E$13*Index!F49/Q49</f>
        <v>0.3253913084282955</v>
      </c>
      <c r="AM49" s="12">
        <f>Weights!$E$14*Index!G49/R49</f>
        <v>0</v>
      </c>
      <c r="AN49" s="12">
        <f>Weights!$E$15*Index!H49/S49</f>
        <v>0.20897908551289182</v>
      </c>
      <c r="AO49" s="12">
        <f>Weights!$E$16*Index!I49/T49</f>
        <v>0</v>
      </c>
      <c r="AP49" s="12">
        <f>Weights!$E$17*Index!J49/U49</f>
        <v>0.25</v>
      </c>
      <c r="AQ49" s="45">
        <f t="shared" si="18"/>
        <v>100.67919524498127</v>
      </c>
    </row>
    <row r="50" spans="1:43" x14ac:dyDescent="0.25">
      <c r="A50" s="8">
        <v>46070</v>
      </c>
      <c r="B50" s="22">
        <v>115.2979</v>
      </c>
      <c r="C50" s="22">
        <v>140.1</v>
      </c>
      <c r="D50" s="22">
        <v>161.621655</v>
      </c>
      <c r="E50" s="22">
        <v>127.549813</v>
      </c>
      <c r="F50" s="22">
        <v>18960.8</v>
      </c>
      <c r="G50" s="22">
        <v>354.46</v>
      </c>
      <c r="H50" s="22">
        <v>2590.31</v>
      </c>
      <c r="I50" s="22">
        <v>608.27</v>
      </c>
      <c r="J50" s="22">
        <v>390.51</v>
      </c>
      <c r="K50" s="9" t="str">
        <f t="shared" si="15"/>
        <v/>
      </c>
      <c r="L50" s="10">
        <f t="shared" si="16"/>
        <v>33</v>
      </c>
      <c r="M50" s="27">
        <f t="shared" si="19"/>
        <v>115.30240000000001</v>
      </c>
      <c r="N50" s="14">
        <f t="shared" si="20"/>
        <v>139.51</v>
      </c>
      <c r="O50" s="14">
        <f t="shared" si="21"/>
        <v>160.37584100000001</v>
      </c>
      <c r="P50" s="14">
        <f t="shared" si="22"/>
        <v>126.024174</v>
      </c>
      <c r="Q50" s="14">
        <f t="shared" si="23"/>
        <v>18220.41</v>
      </c>
      <c r="R50" s="14">
        <f t="shared" si="24"/>
        <v>356.27</v>
      </c>
      <c r="S50" s="14">
        <f t="shared" si="25"/>
        <v>2587.6799999999998</v>
      </c>
      <c r="T50" s="14">
        <f t="shared" si="26"/>
        <v>605.89</v>
      </c>
      <c r="U50" s="14">
        <f t="shared" si="27"/>
        <v>390.51</v>
      </c>
      <c r="V50" s="36">
        <f t="shared" si="28"/>
        <v>100.48848785923808</v>
      </c>
      <c r="W50" s="13">
        <f>Weights!$B$9*Index!B50/Index!M50</f>
        <v>2.9998829165741561E-2</v>
      </c>
      <c r="X50" s="13">
        <f>Weights!$B$10*Index!C50/Index!N50</f>
        <v>0.25105727188015198</v>
      </c>
      <c r="Y50" s="13">
        <f>Weights!$B$11*Index!D50/Index!O50</f>
        <v>7.0543766314528633E-2</v>
      </c>
      <c r="Z50" s="13">
        <f>Weights!$B$12*Index!E50/Index!P50</f>
        <v>2.0242118468477326E-2</v>
      </c>
      <c r="AA50" s="13">
        <f>Weights!$B$13*Index!F50/Index!Q50</f>
        <v>0.13528257596837831</v>
      </c>
      <c r="AB50" s="13">
        <f>Weights!$B$14*Index!G50/Index!R50</f>
        <v>0.19898391669239621</v>
      </c>
      <c r="AC50" s="13">
        <f>Weights!$B$15*Index!H50/Index!S50</f>
        <v>5.005081772089285E-2</v>
      </c>
      <c r="AD50" s="13">
        <f>Weights!$B$16*Index!I50/Index!T50</f>
        <v>0</v>
      </c>
      <c r="AE50" s="13">
        <f>Weights!$B$17*Index!J50/Index!U50</f>
        <v>0.25</v>
      </c>
      <c r="AF50" s="20">
        <f t="shared" si="17"/>
        <v>101.10742622171509</v>
      </c>
      <c r="AG50" s="35">
        <f t="shared" si="29"/>
        <v>99.608775909082496</v>
      </c>
      <c r="AH50" s="12">
        <f>Weights!$E$9*Index!B50/M50</f>
        <v>1.8242531249437439E-2</v>
      </c>
      <c r="AI50" s="12">
        <f>Weights!$E$10*Index!C50/N50</f>
        <v>2.0763114917655812E-2</v>
      </c>
      <c r="AJ50" s="12">
        <f>Weights!$E$11*Index!D50/O50</f>
        <v>0</v>
      </c>
      <c r="AK50" s="12">
        <f>Weights!$E$12*Index!E50/P50</f>
        <v>0.18833376439927893</v>
      </c>
      <c r="AL50" s="12">
        <f>Weights!$E$13*Index!F50/Q50</f>
        <v>0.32780008792337817</v>
      </c>
      <c r="AM50" s="12">
        <f>Weights!$E$14*Index!G50/R50</f>
        <v>0</v>
      </c>
      <c r="AN50" s="12">
        <f>Weights!$E$15*Index!H50/S50</f>
        <v>0.21021343442774992</v>
      </c>
      <c r="AO50" s="12">
        <f>Weights!$E$16*Index!I50/T50</f>
        <v>0</v>
      </c>
      <c r="AP50" s="12">
        <f>Weights!$E$17*Index!J50/U50</f>
        <v>0.25</v>
      </c>
      <c r="AQ50" s="45">
        <f t="shared" si="18"/>
        <v>101.13806276360897</v>
      </c>
    </row>
    <row r="51" spans="1:43" x14ac:dyDescent="0.25">
      <c r="A51" s="8">
        <v>46071</v>
      </c>
      <c r="B51" s="22">
        <v>115.2976</v>
      </c>
      <c r="C51" s="22">
        <v>140.09</v>
      </c>
      <c r="D51" s="22">
        <v>161.52003200000001</v>
      </c>
      <c r="E51" s="22">
        <v>127.108181</v>
      </c>
      <c r="F51" s="22">
        <v>19035.900000000001</v>
      </c>
      <c r="G51" s="22">
        <v>357.05</v>
      </c>
      <c r="H51" s="22">
        <v>2601.4499999999998</v>
      </c>
      <c r="I51" s="22">
        <v>611.6</v>
      </c>
      <c r="J51" s="22">
        <v>390.51</v>
      </c>
      <c r="K51" s="9" t="str">
        <f t="shared" si="15"/>
        <v/>
      </c>
      <c r="L51" s="10">
        <f t="shared" si="16"/>
        <v>33</v>
      </c>
      <c r="M51" s="27">
        <f t="shared" si="19"/>
        <v>115.30240000000001</v>
      </c>
      <c r="N51" s="14">
        <f t="shared" si="20"/>
        <v>139.51</v>
      </c>
      <c r="O51" s="14">
        <f t="shared" si="21"/>
        <v>160.37584100000001</v>
      </c>
      <c r="P51" s="14">
        <f t="shared" si="22"/>
        <v>126.024174</v>
      </c>
      <c r="Q51" s="14">
        <f t="shared" si="23"/>
        <v>18220.41</v>
      </c>
      <c r="R51" s="14">
        <f t="shared" si="24"/>
        <v>356.27</v>
      </c>
      <c r="S51" s="14">
        <f t="shared" si="25"/>
        <v>2587.6799999999998</v>
      </c>
      <c r="T51" s="14">
        <f t="shared" si="26"/>
        <v>605.89</v>
      </c>
      <c r="U51" s="14">
        <f t="shared" si="27"/>
        <v>390.51</v>
      </c>
      <c r="V51" s="36">
        <f t="shared" si="28"/>
        <v>100.48848785923808</v>
      </c>
      <c r="W51" s="13">
        <f>Weights!$B$9*Index!B51/Index!M51</f>
        <v>2.999875111012433E-2</v>
      </c>
      <c r="X51" s="13">
        <f>Weights!$B$10*Index!C51/Index!N51</f>
        <v>0.25103935201777655</v>
      </c>
      <c r="Y51" s="13">
        <f>Weights!$B$11*Index!D51/Index!O51</f>
        <v>7.0499410444245167E-2</v>
      </c>
      <c r="Z51" s="13">
        <f>Weights!$B$12*Index!E51/Index!P51</f>
        <v>2.0172031597683791E-2</v>
      </c>
      <c r="AA51" s="13">
        <f>Weights!$B$13*Index!F51/Index!Q51</f>
        <v>0.13581840364733835</v>
      </c>
      <c r="AB51" s="13">
        <f>Weights!$B$14*Index!G51/Index!R51</f>
        <v>0.20043787015465803</v>
      </c>
      <c r="AC51" s="13">
        <f>Weights!$B$15*Index!H51/Index!S51</f>
        <v>5.0266068447412354E-2</v>
      </c>
      <c r="AD51" s="13">
        <f>Weights!$B$16*Index!I51/Index!T51</f>
        <v>0</v>
      </c>
      <c r="AE51" s="13">
        <f>Weights!$B$17*Index!J51/Index!U51</f>
        <v>0.25</v>
      </c>
      <c r="AF51" s="20">
        <f t="shared" si="17"/>
        <v>101.31569777822486</v>
      </c>
      <c r="AG51" s="35">
        <f t="shared" si="29"/>
        <v>99.608775909082496</v>
      </c>
      <c r="AH51" s="12">
        <f>Weights!$E$9*Index!B51/M51</f>
        <v>1.8242483783183716E-2</v>
      </c>
      <c r="AI51" s="12">
        <f>Weights!$E$10*Index!C51/N51</f>
        <v>2.0761632896605303E-2</v>
      </c>
      <c r="AJ51" s="12">
        <f>Weights!$E$11*Index!D51/O51</f>
        <v>0</v>
      </c>
      <c r="AK51" s="12">
        <f>Weights!$E$12*Index!E51/P51</f>
        <v>0.18768167236493635</v>
      </c>
      <c r="AL51" s="12">
        <f>Weights!$E$13*Index!F51/Q51</f>
        <v>0.32909843960701207</v>
      </c>
      <c r="AM51" s="12">
        <f>Weights!$E$14*Index!G51/R51</f>
        <v>0</v>
      </c>
      <c r="AN51" s="12">
        <f>Weights!$E$15*Index!H51/S51</f>
        <v>0.21111748747913184</v>
      </c>
      <c r="AO51" s="12">
        <f>Weights!$E$16*Index!I51/T51</f>
        <v>0</v>
      </c>
      <c r="AP51" s="12">
        <f>Weights!$E$17*Index!J51/U51</f>
        <v>0.25</v>
      </c>
      <c r="AQ51" s="45">
        <f t="shared" si="18"/>
        <v>101.29233516364116</v>
      </c>
    </row>
    <row r="52" spans="1:43" x14ac:dyDescent="0.25">
      <c r="A52" s="8">
        <v>46072</v>
      </c>
      <c r="B52" s="22">
        <v>115.2974</v>
      </c>
      <c r="C52" s="22">
        <v>139.79</v>
      </c>
      <c r="D52" s="22">
        <v>161.52790999999999</v>
      </c>
      <c r="E52" s="22">
        <v>127.555981</v>
      </c>
      <c r="F52" s="22">
        <v>19020.189999999999</v>
      </c>
      <c r="G52" s="22">
        <v>356.5</v>
      </c>
      <c r="H52" s="22">
        <v>2608.66</v>
      </c>
      <c r="I52" s="22">
        <v>605.14</v>
      </c>
      <c r="J52" s="22">
        <v>390.51</v>
      </c>
      <c r="K52" s="9" t="str">
        <f t="shared" si="15"/>
        <v/>
      </c>
      <c r="L52" s="10">
        <f t="shared" si="16"/>
        <v>33</v>
      </c>
      <c r="M52" s="27">
        <f t="shared" si="19"/>
        <v>115.30240000000001</v>
      </c>
      <c r="N52" s="14">
        <f t="shared" si="20"/>
        <v>139.51</v>
      </c>
      <c r="O52" s="14">
        <f t="shared" si="21"/>
        <v>160.37584100000001</v>
      </c>
      <c r="P52" s="14">
        <f t="shared" si="22"/>
        <v>126.024174</v>
      </c>
      <c r="Q52" s="14">
        <f t="shared" si="23"/>
        <v>18220.41</v>
      </c>
      <c r="R52" s="14">
        <f t="shared" si="24"/>
        <v>356.27</v>
      </c>
      <c r="S52" s="14">
        <f t="shared" si="25"/>
        <v>2587.6799999999998</v>
      </c>
      <c r="T52" s="14">
        <f t="shared" si="26"/>
        <v>605.89</v>
      </c>
      <c r="U52" s="14">
        <f t="shared" si="27"/>
        <v>390.51</v>
      </c>
      <c r="V52" s="36">
        <f t="shared" si="28"/>
        <v>100.48848785923808</v>
      </c>
      <c r="W52" s="13">
        <f>Weights!$B$9*Index!B52/Index!M52</f>
        <v>2.9998699073046177E-2</v>
      </c>
      <c r="X52" s="13">
        <f>Weights!$B$10*Index!C52/Index!N52</f>
        <v>0.25050175614651282</v>
      </c>
      <c r="Y52" s="13">
        <f>Weights!$B$11*Index!D52/Index!O52</f>
        <v>7.0502848992074818E-2</v>
      </c>
      <c r="Z52" s="13">
        <f>Weights!$B$12*Index!E52/Index!P52</f>
        <v>2.0243097328295125E-2</v>
      </c>
      <c r="AA52" s="13">
        <f>Weights!$B$13*Index!F52/Index!Q52</f>
        <v>0.13570631506096734</v>
      </c>
      <c r="AB52" s="13">
        <f>Weights!$B$14*Index!G52/Index!R52</f>
        <v>0.2001291155584248</v>
      </c>
      <c r="AC52" s="13">
        <f>Weights!$B$15*Index!H52/Index!S52</f>
        <v>5.0405382427502629E-2</v>
      </c>
      <c r="AD52" s="13">
        <f>Weights!$B$16*Index!I52/Index!T52</f>
        <v>0</v>
      </c>
      <c r="AE52" s="13">
        <f>Weights!$B$17*Index!J52/Index!U52</f>
        <v>0.25</v>
      </c>
      <c r="AF52" s="20">
        <f t="shared" si="17"/>
        <v>101.24086673134562</v>
      </c>
      <c r="AG52" s="35">
        <f t="shared" si="29"/>
        <v>99.608775909082496</v>
      </c>
      <c r="AH52" s="12">
        <f>Weights!$E$9*Index!B52/M52</f>
        <v>1.8242452139014566E-2</v>
      </c>
      <c r="AI52" s="12">
        <f>Weights!$E$10*Index!C52/N52</f>
        <v>2.0717172265089977E-2</v>
      </c>
      <c r="AJ52" s="12">
        <f>Weights!$E$11*Index!D52/O52</f>
        <v>0</v>
      </c>
      <c r="AK52" s="12">
        <f>Weights!$E$12*Index!E52/P52</f>
        <v>0.18834287176393505</v>
      </c>
      <c r="AL52" s="12">
        <f>Weights!$E$13*Index!F52/Q52</f>
        <v>0.32882684034003618</v>
      </c>
      <c r="AM52" s="12">
        <f>Weights!$E$14*Index!G52/R52</f>
        <v>0</v>
      </c>
      <c r="AN52" s="12">
        <f>Weights!$E$15*Index!H52/S52</f>
        <v>0.21170260619551098</v>
      </c>
      <c r="AO52" s="12">
        <f>Weights!$E$16*Index!I52/T52</f>
        <v>0</v>
      </c>
      <c r="AP52" s="12">
        <f>Weights!$E$17*Index!J52/U52</f>
        <v>0.25</v>
      </c>
      <c r="AQ52" s="45">
        <f t="shared" si="18"/>
        <v>101.38499389386766</v>
      </c>
    </row>
    <row r="53" spans="1:43" x14ac:dyDescent="0.25">
      <c r="A53" s="8">
        <v>46073</v>
      </c>
      <c r="B53" s="22">
        <v>115.2971</v>
      </c>
      <c r="C53" s="22">
        <v>139.78</v>
      </c>
      <c r="D53" s="22">
        <v>161.59292500000001</v>
      </c>
      <c r="E53" s="22">
        <v>127.56066799999999</v>
      </c>
      <c r="F53" s="22">
        <v>19097.79</v>
      </c>
      <c r="G53" s="22">
        <v>358.42</v>
      </c>
      <c r="H53" s="22">
        <v>2620.77</v>
      </c>
      <c r="I53" s="22">
        <v>608.38</v>
      </c>
      <c r="J53" s="22">
        <v>390.51</v>
      </c>
      <c r="K53" s="9" t="str">
        <f t="shared" si="15"/>
        <v/>
      </c>
      <c r="L53" s="10">
        <f t="shared" si="16"/>
        <v>33</v>
      </c>
      <c r="M53" s="27">
        <f t="shared" si="19"/>
        <v>115.30240000000001</v>
      </c>
      <c r="N53" s="14">
        <f t="shared" si="20"/>
        <v>139.51</v>
      </c>
      <c r="O53" s="14">
        <f t="shared" si="21"/>
        <v>160.37584100000001</v>
      </c>
      <c r="P53" s="14">
        <f t="shared" si="22"/>
        <v>126.024174</v>
      </c>
      <c r="Q53" s="14">
        <f t="shared" si="23"/>
        <v>18220.41</v>
      </c>
      <c r="R53" s="14">
        <f t="shared" si="24"/>
        <v>356.27</v>
      </c>
      <c r="S53" s="14">
        <f t="shared" si="25"/>
        <v>2587.6799999999998</v>
      </c>
      <c r="T53" s="14">
        <f t="shared" si="26"/>
        <v>605.89</v>
      </c>
      <c r="U53" s="14">
        <f t="shared" si="27"/>
        <v>390.51</v>
      </c>
      <c r="V53" s="36">
        <f t="shared" si="28"/>
        <v>100.48848785923808</v>
      </c>
      <c r="W53" s="13">
        <f>Weights!$B$9*Index!B53/Index!M53</f>
        <v>2.999862101742895E-2</v>
      </c>
      <c r="X53" s="13">
        <f>Weights!$B$10*Index!C53/Index!N53</f>
        <v>0.25048383628413734</v>
      </c>
      <c r="Y53" s="13">
        <f>Weights!$B$11*Index!D53/Index!O53</f>
        <v>7.0531226395875932E-2</v>
      </c>
      <c r="Z53" s="13">
        <f>Weights!$B$12*Index!E53/Index!P53</f>
        <v>2.0243841153840848E-2</v>
      </c>
      <c r="AA53" s="13">
        <f>Weights!$B$13*Index!F53/Index!Q53</f>
        <v>0.13625997987970634</v>
      </c>
      <c r="AB53" s="13">
        <f>Weights!$B$14*Index!G53/Index!R53</f>
        <v>0.20120694978527526</v>
      </c>
      <c r="AC53" s="13">
        <f>Weights!$B$15*Index!H53/Index!S53</f>
        <v>5.0639375811537754E-2</v>
      </c>
      <c r="AD53" s="13">
        <f>Weights!$B$16*Index!I53/Index!T53</f>
        <v>0</v>
      </c>
      <c r="AE53" s="13">
        <f>Weights!$B$17*Index!J53/Index!U53</f>
        <v>0.25</v>
      </c>
      <c r="AF53" s="20">
        <f t="shared" si="17"/>
        <v>101.42944500944942</v>
      </c>
      <c r="AG53" s="35">
        <f t="shared" si="29"/>
        <v>99.608775909082496</v>
      </c>
      <c r="AH53" s="12">
        <f>Weights!$E$9*Index!B53/M53</f>
        <v>1.8242404672760851E-2</v>
      </c>
      <c r="AI53" s="12">
        <f>Weights!$E$10*Index!C53/N53</f>
        <v>2.0715690244039471E-2</v>
      </c>
      <c r="AJ53" s="12">
        <f>Weights!$E$11*Index!D53/O53</f>
        <v>0</v>
      </c>
      <c r="AK53" s="12">
        <f>Weights!$E$12*Index!E53/P53</f>
        <v>0.18834979235701926</v>
      </c>
      <c r="AL53" s="12">
        <f>Weights!$E$13*Index!F53/Q53</f>
        <v>0.33016841278544223</v>
      </c>
      <c r="AM53" s="12">
        <f>Weights!$E$14*Index!G53/R53</f>
        <v>0</v>
      </c>
      <c r="AN53" s="12">
        <f>Weights!$E$15*Index!H53/S53</f>
        <v>0.21268537840845853</v>
      </c>
      <c r="AO53" s="12">
        <f>Weights!$E$16*Index!I53/T53</f>
        <v>0</v>
      </c>
      <c r="AP53" s="12">
        <f>Weights!$E$17*Index!J53/U53</f>
        <v>0.25</v>
      </c>
      <c r="AQ53" s="45">
        <f t="shared" si="18"/>
        <v>101.61705602152462</v>
      </c>
    </row>
    <row r="54" spans="1:43" x14ac:dyDescent="0.25">
      <c r="A54" s="8">
        <v>46074</v>
      </c>
      <c r="B54" s="22">
        <v>115.2971</v>
      </c>
      <c r="C54" s="22">
        <v>139.78</v>
      </c>
      <c r="D54" s="22">
        <v>161.59292500000001</v>
      </c>
      <c r="E54" s="22">
        <v>127.56066799999999</v>
      </c>
      <c r="F54" s="22">
        <v>19097.79</v>
      </c>
      <c r="G54" s="22">
        <v>358.42</v>
      </c>
      <c r="H54" s="22">
        <v>2620.77</v>
      </c>
      <c r="I54" s="22">
        <v>608.38</v>
      </c>
      <c r="J54" s="22">
        <v>390.51</v>
      </c>
      <c r="K54" s="9" t="str">
        <f t="shared" si="15"/>
        <v/>
      </c>
      <c r="L54" s="10">
        <f t="shared" si="16"/>
        <v>33</v>
      </c>
      <c r="M54" s="27">
        <f t="shared" si="19"/>
        <v>115.30240000000001</v>
      </c>
      <c r="N54" s="14">
        <f t="shared" si="20"/>
        <v>139.51</v>
      </c>
      <c r="O54" s="14">
        <f t="shared" si="21"/>
        <v>160.37584100000001</v>
      </c>
      <c r="P54" s="14">
        <f t="shared" si="22"/>
        <v>126.024174</v>
      </c>
      <c r="Q54" s="14">
        <f t="shared" si="23"/>
        <v>18220.41</v>
      </c>
      <c r="R54" s="14">
        <f t="shared" si="24"/>
        <v>356.27</v>
      </c>
      <c r="S54" s="14">
        <f t="shared" si="25"/>
        <v>2587.6799999999998</v>
      </c>
      <c r="T54" s="14">
        <f t="shared" si="26"/>
        <v>605.89</v>
      </c>
      <c r="U54" s="14">
        <f t="shared" si="27"/>
        <v>390.51</v>
      </c>
      <c r="V54" s="36">
        <f t="shared" si="28"/>
        <v>100.48848785923808</v>
      </c>
      <c r="W54" s="13">
        <f>Weights!$B$9*Index!B54/Index!M54</f>
        <v>2.999862101742895E-2</v>
      </c>
      <c r="X54" s="13">
        <f>Weights!$B$10*Index!C54/Index!N54</f>
        <v>0.25048383628413734</v>
      </c>
      <c r="Y54" s="13">
        <f>Weights!$B$11*Index!D54/Index!O54</f>
        <v>7.0531226395875932E-2</v>
      </c>
      <c r="Z54" s="13">
        <f>Weights!$B$12*Index!E54/Index!P54</f>
        <v>2.0243841153840848E-2</v>
      </c>
      <c r="AA54" s="13">
        <f>Weights!$B$13*Index!F54/Index!Q54</f>
        <v>0.13625997987970634</v>
      </c>
      <c r="AB54" s="13">
        <f>Weights!$B$14*Index!G54/Index!R54</f>
        <v>0.20120694978527526</v>
      </c>
      <c r="AC54" s="13">
        <f>Weights!$B$15*Index!H54/Index!S54</f>
        <v>5.0639375811537754E-2</v>
      </c>
      <c r="AD54" s="13">
        <f>Weights!$B$16*Index!I54/Index!T54</f>
        <v>0</v>
      </c>
      <c r="AE54" s="13">
        <f>Weights!$B$17*Index!J54/Index!U54</f>
        <v>0.25</v>
      </c>
      <c r="AF54" s="20">
        <f t="shared" si="17"/>
        <v>101.42944500944942</v>
      </c>
      <c r="AG54" s="35">
        <f t="shared" si="29"/>
        <v>99.608775909082496</v>
      </c>
      <c r="AH54" s="12">
        <f>Weights!$E$9*Index!B54/M54</f>
        <v>1.8242404672760851E-2</v>
      </c>
      <c r="AI54" s="12">
        <f>Weights!$E$10*Index!C54/N54</f>
        <v>2.0715690244039471E-2</v>
      </c>
      <c r="AJ54" s="12">
        <f>Weights!$E$11*Index!D54/O54</f>
        <v>0</v>
      </c>
      <c r="AK54" s="12">
        <f>Weights!$E$12*Index!E54/P54</f>
        <v>0.18834979235701926</v>
      </c>
      <c r="AL54" s="12">
        <f>Weights!$E$13*Index!F54/Q54</f>
        <v>0.33016841278544223</v>
      </c>
      <c r="AM54" s="12">
        <f>Weights!$E$14*Index!G54/R54</f>
        <v>0</v>
      </c>
      <c r="AN54" s="12">
        <f>Weights!$E$15*Index!H54/S54</f>
        <v>0.21268537840845853</v>
      </c>
      <c r="AO54" s="12">
        <f>Weights!$E$16*Index!I54/T54</f>
        <v>0</v>
      </c>
      <c r="AP54" s="12">
        <f>Weights!$E$17*Index!J54/U54</f>
        <v>0.25</v>
      </c>
      <c r="AQ54" s="45">
        <f t="shared" si="18"/>
        <v>101.61705602152462</v>
      </c>
    </row>
    <row r="55" spans="1:43" x14ac:dyDescent="0.25">
      <c r="A55" s="8">
        <v>46075</v>
      </c>
      <c r="B55" s="22">
        <v>115.2971</v>
      </c>
      <c r="C55" s="22">
        <v>139.78</v>
      </c>
      <c r="D55" s="22">
        <v>161.59292500000001</v>
      </c>
      <c r="E55" s="22">
        <v>127.56066799999999</v>
      </c>
      <c r="F55" s="22">
        <v>19097.79</v>
      </c>
      <c r="G55" s="22">
        <v>358.42</v>
      </c>
      <c r="H55" s="22">
        <v>2620.77</v>
      </c>
      <c r="I55" s="22">
        <v>608.38</v>
      </c>
      <c r="J55" s="22">
        <v>390.51</v>
      </c>
      <c r="K55" s="9" t="str">
        <f t="shared" si="15"/>
        <v/>
      </c>
      <c r="L55" s="10">
        <f t="shared" si="16"/>
        <v>33</v>
      </c>
      <c r="M55" s="27">
        <f t="shared" si="19"/>
        <v>115.30240000000001</v>
      </c>
      <c r="N55" s="14">
        <f t="shared" si="20"/>
        <v>139.51</v>
      </c>
      <c r="O55" s="14">
        <f t="shared" si="21"/>
        <v>160.37584100000001</v>
      </c>
      <c r="P55" s="14">
        <f t="shared" si="22"/>
        <v>126.024174</v>
      </c>
      <c r="Q55" s="14">
        <f t="shared" si="23"/>
        <v>18220.41</v>
      </c>
      <c r="R55" s="14">
        <f t="shared" si="24"/>
        <v>356.27</v>
      </c>
      <c r="S55" s="14">
        <f t="shared" si="25"/>
        <v>2587.6799999999998</v>
      </c>
      <c r="T55" s="14">
        <f t="shared" si="26"/>
        <v>605.89</v>
      </c>
      <c r="U55" s="14">
        <f t="shared" si="27"/>
        <v>390.51</v>
      </c>
      <c r="V55" s="36">
        <f t="shared" si="28"/>
        <v>100.48848785923808</v>
      </c>
      <c r="W55" s="13">
        <f>Weights!$B$9*Index!B55/Index!M55</f>
        <v>2.999862101742895E-2</v>
      </c>
      <c r="X55" s="13">
        <f>Weights!$B$10*Index!C55/Index!N55</f>
        <v>0.25048383628413734</v>
      </c>
      <c r="Y55" s="13">
        <f>Weights!$B$11*Index!D55/Index!O55</f>
        <v>7.0531226395875932E-2</v>
      </c>
      <c r="Z55" s="13">
        <f>Weights!$B$12*Index!E55/Index!P55</f>
        <v>2.0243841153840848E-2</v>
      </c>
      <c r="AA55" s="13">
        <f>Weights!$B$13*Index!F55/Index!Q55</f>
        <v>0.13625997987970634</v>
      </c>
      <c r="AB55" s="13">
        <f>Weights!$B$14*Index!G55/Index!R55</f>
        <v>0.20120694978527526</v>
      </c>
      <c r="AC55" s="13">
        <f>Weights!$B$15*Index!H55/Index!S55</f>
        <v>5.0639375811537754E-2</v>
      </c>
      <c r="AD55" s="13">
        <f>Weights!$B$16*Index!I55/Index!T55</f>
        <v>0</v>
      </c>
      <c r="AE55" s="13">
        <f>Weights!$B$17*Index!J55/Index!U55</f>
        <v>0.25</v>
      </c>
      <c r="AF55" s="20">
        <f t="shared" si="17"/>
        <v>101.42944500944942</v>
      </c>
      <c r="AG55" s="35">
        <f t="shared" si="29"/>
        <v>99.608775909082496</v>
      </c>
      <c r="AH55" s="12">
        <f>Weights!$E$9*Index!B55/M55</f>
        <v>1.8242404672760851E-2</v>
      </c>
      <c r="AI55" s="12">
        <f>Weights!$E$10*Index!C55/N55</f>
        <v>2.0715690244039471E-2</v>
      </c>
      <c r="AJ55" s="12">
        <f>Weights!$E$11*Index!D55/O55</f>
        <v>0</v>
      </c>
      <c r="AK55" s="12">
        <f>Weights!$E$12*Index!E55/P55</f>
        <v>0.18834979235701926</v>
      </c>
      <c r="AL55" s="12">
        <f>Weights!$E$13*Index!F55/Q55</f>
        <v>0.33016841278544223</v>
      </c>
      <c r="AM55" s="12">
        <f>Weights!$E$14*Index!G55/R55</f>
        <v>0</v>
      </c>
      <c r="AN55" s="12">
        <f>Weights!$E$15*Index!H55/S55</f>
        <v>0.21268537840845853</v>
      </c>
      <c r="AO55" s="12">
        <f>Weights!$E$16*Index!I55/T55</f>
        <v>0</v>
      </c>
      <c r="AP55" s="12">
        <f>Weights!$E$17*Index!J55/U55</f>
        <v>0.25</v>
      </c>
      <c r="AQ55" s="45">
        <f t="shared" si="18"/>
        <v>101.61705602152462</v>
      </c>
    </row>
    <row r="56" spans="1:43" x14ac:dyDescent="0.25">
      <c r="A56" s="8">
        <v>46076</v>
      </c>
      <c r="B56" s="22">
        <v>115.2963</v>
      </c>
      <c r="C56" s="22">
        <v>140.03</v>
      </c>
      <c r="D56" s="22">
        <v>161.80095</v>
      </c>
      <c r="E56" s="22">
        <v>127.720274</v>
      </c>
      <c r="F56" s="22">
        <v>19051.52</v>
      </c>
      <c r="G56" s="22">
        <v>355.22</v>
      </c>
      <c r="H56" s="22">
        <v>2597.4</v>
      </c>
      <c r="I56" s="22">
        <v>607.39</v>
      </c>
      <c r="J56" s="22">
        <v>390.51</v>
      </c>
      <c r="K56" s="9" t="str">
        <f t="shared" si="15"/>
        <v/>
      </c>
      <c r="L56" s="10">
        <f t="shared" si="16"/>
        <v>33</v>
      </c>
      <c r="M56" s="27">
        <f t="shared" si="19"/>
        <v>115.30240000000001</v>
      </c>
      <c r="N56" s="14">
        <f t="shared" si="20"/>
        <v>139.51</v>
      </c>
      <c r="O56" s="14">
        <f t="shared" si="21"/>
        <v>160.37584100000001</v>
      </c>
      <c r="P56" s="14">
        <f t="shared" si="22"/>
        <v>126.024174</v>
      </c>
      <c r="Q56" s="14">
        <f t="shared" si="23"/>
        <v>18220.41</v>
      </c>
      <c r="R56" s="14">
        <f t="shared" si="24"/>
        <v>356.27</v>
      </c>
      <c r="S56" s="14">
        <f t="shared" si="25"/>
        <v>2587.6799999999998</v>
      </c>
      <c r="T56" s="14">
        <f t="shared" si="26"/>
        <v>605.89</v>
      </c>
      <c r="U56" s="14">
        <f t="shared" si="27"/>
        <v>390.51</v>
      </c>
      <c r="V56" s="36">
        <f t="shared" si="28"/>
        <v>100.48848785923808</v>
      </c>
      <c r="W56" s="13">
        <f>Weights!$B$9*Index!B56/Index!M56</f>
        <v>2.999841286911634E-2</v>
      </c>
      <c r="X56" s="13">
        <f>Weights!$B$10*Index!C56/Index!N56</f>
        <v>0.25093183284352377</v>
      </c>
      <c r="Y56" s="13">
        <f>Weights!$B$11*Index!D56/Index!O56</f>
        <v>7.0622024049120963E-2</v>
      </c>
      <c r="Z56" s="13">
        <f>Weights!$B$12*Index!E56/Index!P56</f>
        <v>2.0269170579923817E-2</v>
      </c>
      <c r="AA56" s="13">
        <f>Weights!$B$13*Index!F56/Index!Q56</f>
        <v>0.1359298500966773</v>
      </c>
      <c r="AB56" s="13">
        <f>Weights!$B$14*Index!G56/Index!R56</f>
        <v>0.19941055940719121</v>
      </c>
      <c r="AC56" s="13">
        <f>Weights!$B$15*Index!H56/Index!S56</f>
        <v>5.0187813021702846E-2</v>
      </c>
      <c r="AD56" s="13">
        <f>Weights!$B$16*Index!I56/Index!T56</f>
        <v>0</v>
      </c>
      <c r="AE56" s="13">
        <f>Weights!$B$17*Index!J56/Index!U56</f>
        <v>0.25</v>
      </c>
      <c r="AF56" s="20">
        <f t="shared" si="17"/>
        <v>101.22704436704385</v>
      </c>
      <c r="AG56" s="35">
        <f t="shared" si="29"/>
        <v>99.608775909082496</v>
      </c>
      <c r="AH56" s="12">
        <f>Weights!$E$9*Index!B56/M56</f>
        <v>1.8242278096084263E-2</v>
      </c>
      <c r="AI56" s="12">
        <f>Weights!$E$10*Index!C56/N56</f>
        <v>2.0752740770302237E-2</v>
      </c>
      <c r="AJ56" s="12">
        <f>Weights!$E$11*Index!D56/O56</f>
        <v>0</v>
      </c>
      <c r="AK56" s="12">
        <f>Weights!$E$12*Index!E56/P56</f>
        <v>0.18858545870645338</v>
      </c>
      <c r="AL56" s="12">
        <f>Weights!$E$13*Index!F56/Q56</f>
        <v>0.32936848292656418</v>
      </c>
      <c r="AM56" s="12">
        <f>Weights!$E$14*Index!G56/R56</f>
        <v>0</v>
      </c>
      <c r="AN56" s="12">
        <f>Weights!$E$15*Index!H56/S56</f>
        <v>0.2107888146911519</v>
      </c>
      <c r="AO56" s="12">
        <f>Weights!$E$16*Index!I56/T56</f>
        <v>0</v>
      </c>
      <c r="AP56" s="12">
        <f>Weights!$E$17*Index!J56/U56</f>
        <v>0.25</v>
      </c>
      <c r="AQ56" s="45">
        <f t="shared" si="18"/>
        <v>101.37561398316426</v>
      </c>
    </row>
    <row r="57" spans="1:43" x14ac:dyDescent="0.25">
      <c r="A57" s="8">
        <v>46077</v>
      </c>
      <c r="B57" s="22">
        <v>115.29600000000001</v>
      </c>
      <c r="C57" s="22">
        <v>140.13999999999999</v>
      </c>
      <c r="D57" s="22">
        <v>161.813637</v>
      </c>
      <c r="E57" s="22">
        <v>127.73696699999999</v>
      </c>
      <c r="F57" s="22">
        <v>19199.48</v>
      </c>
      <c r="G57" s="22">
        <v>357.28</v>
      </c>
      <c r="H57" s="22">
        <v>2612.9499999999998</v>
      </c>
      <c r="I57" s="22">
        <v>608.61</v>
      </c>
      <c r="J57" s="22">
        <v>390.51</v>
      </c>
      <c r="K57" s="9" t="str">
        <f t="shared" si="15"/>
        <v/>
      </c>
      <c r="L57" s="10">
        <f t="shared" si="16"/>
        <v>33</v>
      </c>
      <c r="M57" s="27">
        <f t="shared" si="19"/>
        <v>115.30240000000001</v>
      </c>
      <c r="N57" s="14">
        <f t="shared" si="20"/>
        <v>139.51</v>
      </c>
      <c r="O57" s="14">
        <f t="shared" si="21"/>
        <v>160.37584100000001</v>
      </c>
      <c r="P57" s="14">
        <f t="shared" si="22"/>
        <v>126.024174</v>
      </c>
      <c r="Q57" s="14">
        <f t="shared" si="23"/>
        <v>18220.41</v>
      </c>
      <c r="R57" s="14">
        <f t="shared" si="24"/>
        <v>356.27</v>
      </c>
      <c r="S57" s="14">
        <f t="shared" si="25"/>
        <v>2587.6799999999998</v>
      </c>
      <c r="T57" s="14">
        <f t="shared" si="26"/>
        <v>605.89</v>
      </c>
      <c r="U57" s="14">
        <f t="shared" si="27"/>
        <v>390.51</v>
      </c>
      <c r="V57" s="36">
        <f t="shared" si="28"/>
        <v>100.48848785923808</v>
      </c>
      <c r="W57" s="13">
        <f>Weights!$B$9*Index!B57/Index!M57</f>
        <v>2.9998334813499113E-2</v>
      </c>
      <c r="X57" s="13">
        <f>Weights!$B$10*Index!C57/Index!N57</f>
        <v>0.25112895132965379</v>
      </c>
      <c r="Y57" s="13">
        <f>Weights!$B$11*Index!D57/Index!O57</f>
        <v>7.0627561603870251E-2</v>
      </c>
      <c r="Z57" s="13">
        <f>Weights!$B$12*Index!E57/Index!P57</f>
        <v>2.027181975420049E-2</v>
      </c>
      <c r="AA57" s="13">
        <f>Weights!$B$13*Index!F57/Index!Q57</f>
        <v>0.13698552337735539</v>
      </c>
      <c r="AB57" s="13">
        <f>Weights!$B$14*Index!G57/Index!R57</f>
        <v>0.20056698571308279</v>
      </c>
      <c r="AC57" s="13">
        <f>Weights!$B$15*Index!H57/Index!S57</f>
        <v>5.0488275211772717E-2</v>
      </c>
      <c r="AD57" s="13">
        <f>Weights!$B$16*Index!I57/Index!T57</f>
        <v>0</v>
      </c>
      <c r="AE57" s="13">
        <f>Weights!$B$17*Index!J57/Index!U57</f>
        <v>0.25</v>
      </c>
      <c r="AF57" s="20">
        <f t="shared" si="17"/>
        <v>101.50015086756098</v>
      </c>
      <c r="AG57" s="35">
        <f t="shared" si="29"/>
        <v>99.608775909082496</v>
      </c>
      <c r="AH57" s="12">
        <f>Weights!$E$9*Index!B57/M57</f>
        <v>1.824223062983054E-2</v>
      </c>
      <c r="AI57" s="12">
        <f>Weights!$E$10*Index!C57/N57</f>
        <v>2.0769043001857855E-2</v>
      </c>
      <c r="AJ57" s="12">
        <f>Weights!$E$11*Index!D57/O57</f>
        <v>0</v>
      </c>
      <c r="AK57" s="12">
        <f>Weights!$E$12*Index!E57/P57</f>
        <v>0.18861010676712214</v>
      </c>
      <c r="AL57" s="12">
        <f>Weights!$E$13*Index!F57/Q57</f>
        <v>0.33192646049128416</v>
      </c>
      <c r="AM57" s="12">
        <f>Weights!$E$14*Index!G57/R57</f>
        <v>0</v>
      </c>
      <c r="AN57" s="12">
        <f>Weights!$E$15*Index!H57/S57</f>
        <v>0.21205075588944536</v>
      </c>
      <c r="AO57" s="12">
        <f>Weights!$E$16*Index!I57/T57</f>
        <v>0</v>
      </c>
      <c r="AP57" s="12">
        <f>Weights!$E$17*Index!J57/U57</f>
        <v>0.25</v>
      </c>
      <c r="AQ57" s="45">
        <f t="shared" si="18"/>
        <v>101.76018569564633</v>
      </c>
    </row>
    <row r="58" spans="1:43" x14ac:dyDescent="0.25">
      <c r="A58" s="8">
        <v>46078</v>
      </c>
      <c r="B58" s="22">
        <v>115.2958</v>
      </c>
      <c r="C58" s="22">
        <v>140.12</v>
      </c>
      <c r="D58" s="22">
        <v>161.73802799999999</v>
      </c>
      <c r="E58" s="22">
        <v>127.57929899999999</v>
      </c>
      <c r="F58" s="22">
        <v>19217.919999999998</v>
      </c>
      <c r="G58" s="22">
        <v>360.16</v>
      </c>
      <c r="H58" s="22">
        <v>2629.81</v>
      </c>
      <c r="I58" s="22">
        <v>609.21</v>
      </c>
      <c r="J58" s="22">
        <v>390.51</v>
      </c>
      <c r="K58" s="9" t="str">
        <f t="shared" si="15"/>
        <v/>
      </c>
      <c r="L58" s="10">
        <f t="shared" si="16"/>
        <v>33</v>
      </c>
      <c r="M58" s="27">
        <f t="shared" si="19"/>
        <v>115.30240000000001</v>
      </c>
      <c r="N58" s="14">
        <f t="shared" si="20"/>
        <v>139.51</v>
      </c>
      <c r="O58" s="14">
        <f t="shared" si="21"/>
        <v>160.37584100000001</v>
      </c>
      <c r="P58" s="14">
        <f t="shared" si="22"/>
        <v>126.024174</v>
      </c>
      <c r="Q58" s="14">
        <f t="shared" si="23"/>
        <v>18220.41</v>
      </c>
      <c r="R58" s="14">
        <f t="shared" si="24"/>
        <v>356.27</v>
      </c>
      <c r="S58" s="14">
        <f t="shared" si="25"/>
        <v>2587.6799999999998</v>
      </c>
      <c r="T58" s="14">
        <f t="shared" si="26"/>
        <v>605.89</v>
      </c>
      <c r="U58" s="14">
        <f t="shared" si="27"/>
        <v>390.51</v>
      </c>
      <c r="V58" s="36">
        <f t="shared" si="28"/>
        <v>100.48848785923808</v>
      </c>
      <c r="W58" s="13">
        <f>Weights!$B$9*Index!B58/Index!M58</f>
        <v>2.9998282776420956E-2</v>
      </c>
      <c r="X58" s="13">
        <f>Weights!$B$10*Index!C58/Index!N58</f>
        <v>0.25109311160490289</v>
      </c>
      <c r="Y58" s="13">
        <f>Weights!$B$11*Index!D58/Index!O58</f>
        <v>7.059456018690495E-2</v>
      </c>
      <c r="Z58" s="13">
        <f>Weights!$B$12*Index!E58/Index!P58</f>
        <v>2.0246797888157551E-2</v>
      </c>
      <c r="AA58" s="13">
        <f>Weights!$B$13*Index!F58/Index!Q58</f>
        <v>0.13711709012036502</v>
      </c>
      <c r="AB58" s="13">
        <f>Weights!$B$14*Index!G58/Index!R58</f>
        <v>0.20218373705335846</v>
      </c>
      <c r="AC58" s="13">
        <f>Weights!$B$15*Index!H58/Index!S58</f>
        <v>5.0814049650652324E-2</v>
      </c>
      <c r="AD58" s="13">
        <f>Weights!$B$16*Index!I58/Index!T58</f>
        <v>0</v>
      </c>
      <c r="AE58" s="13">
        <f>Weights!$B$17*Index!J58/Index!U58</f>
        <v>0.25</v>
      </c>
      <c r="AF58" s="20">
        <f t="shared" si="17"/>
        <v>101.69913590795053</v>
      </c>
      <c r="AG58" s="35">
        <f t="shared" si="29"/>
        <v>99.608775909082496</v>
      </c>
      <c r="AH58" s="12">
        <f>Weights!$E$9*Index!B58/M58</f>
        <v>1.8242198985661394E-2</v>
      </c>
      <c r="AI58" s="12">
        <f>Weights!$E$10*Index!C58/N58</f>
        <v>2.0766078959756837E-2</v>
      </c>
      <c r="AJ58" s="12">
        <f>Weights!$E$11*Index!D58/O58</f>
        <v>0</v>
      </c>
      <c r="AK58" s="12">
        <f>Weights!$E$12*Index!E58/P58</f>
        <v>0.18837730197292535</v>
      </c>
      <c r="AL58" s="12">
        <f>Weights!$E$13*Index!F58/Q58</f>
        <v>0.33224525683011513</v>
      </c>
      <c r="AM58" s="12">
        <f>Weights!$E$14*Index!G58/R58</f>
        <v>0</v>
      </c>
      <c r="AN58" s="12">
        <f>Weights!$E$15*Index!H58/S58</f>
        <v>0.21341900853273971</v>
      </c>
      <c r="AO58" s="12">
        <f>Weights!$E$16*Index!I58/T58</f>
        <v>0</v>
      </c>
      <c r="AP58" s="12">
        <f>Weights!$E$17*Index!J58/U58</f>
        <v>0.25</v>
      </c>
      <c r="AQ58" s="45">
        <f t="shared" si="18"/>
        <v>101.90474278243641</v>
      </c>
    </row>
    <row r="59" spans="1:43" x14ac:dyDescent="0.25">
      <c r="A59" s="8">
        <v>46079</v>
      </c>
      <c r="B59" s="22">
        <v>115.2955</v>
      </c>
      <c r="C59" s="22">
        <v>140.22999999999999</v>
      </c>
      <c r="D59" s="22">
        <v>161.88729799999999</v>
      </c>
      <c r="E59" s="22">
        <v>127.82342</v>
      </c>
      <c r="F59" s="22">
        <v>19151.61</v>
      </c>
      <c r="G59" s="22">
        <v>359.2</v>
      </c>
      <c r="H59" s="22">
        <v>2624.21</v>
      </c>
      <c r="I59" s="22">
        <v>606.66999999999996</v>
      </c>
      <c r="J59" s="22">
        <v>390.51</v>
      </c>
      <c r="K59" s="9" t="str">
        <f t="shared" si="15"/>
        <v/>
      </c>
      <c r="L59" s="10">
        <f t="shared" si="16"/>
        <v>33</v>
      </c>
      <c r="M59" s="27">
        <f t="shared" si="19"/>
        <v>115.30240000000001</v>
      </c>
      <c r="N59" s="14">
        <f t="shared" si="20"/>
        <v>139.51</v>
      </c>
      <c r="O59" s="14">
        <f t="shared" si="21"/>
        <v>160.37584100000001</v>
      </c>
      <c r="P59" s="14">
        <f t="shared" si="22"/>
        <v>126.024174</v>
      </c>
      <c r="Q59" s="14">
        <f t="shared" si="23"/>
        <v>18220.41</v>
      </c>
      <c r="R59" s="14">
        <f t="shared" si="24"/>
        <v>356.27</v>
      </c>
      <c r="S59" s="14">
        <f t="shared" si="25"/>
        <v>2587.6799999999998</v>
      </c>
      <c r="T59" s="14">
        <f t="shared" si="26"/>
        <v>605.89</v>
      </c>
      <c r="U59" s="14">
        <f t="shared" si="27"/>
        <v>390.51</v>
      </c>
      <c r="V59" s="36">
        <f t="shared" si="28"/>
        <v>100.48848785923808</v>
      </c>
      <c r="W59" s="13">
        <f>Weights!$B$9*Index!B59/Index!M59</f>
        <v>2.9998204720803726E-2</v>
      </c>
      <c r="X59" s="13">
        <f>Weights!$B$10*Index!C59/Index!N59</f>
        <v>0.25129023009103291</v>
      </c>
      <c r="Y59" s="13">
        <f>Weights!$B$11*Index!D59/Index!O59</f>
        <v>7.0659712768084568E-2</v>
      </c>
      <c r="Z59" s="13">
        <f>Weights!$B$12*Index!E59/Index!P59</f>
        <v>2.0285539820320504E-2</v>
      </c>
      <c r="AA59" s="13">
        <f>Weights!$B$13*Index!F59/Index!Q59</f>
        <v>0.13664397782486784</v>
      </c>
      <c r="AB59" s="13">
        <f>Weights!$B$14*Index!G59/Index!R59</f>
        <v>0.20164481993993322</v>
      </c>
      <c r="AC59" s="13">
        <f>Weights!$B$15*Index!H59/Index!S59</f>
        <v>5.07058446175725E-2</v>
      </c>
      <c r="AD59" s="13">
        <f>Weights!$B$16*Index!I59/Index!T59</f>
        <v>0</v>
      </c>
      <c r="AE59" s="13">
        <f>Weights!$B$17*Index!J59/Index!U59</f>
        <v>0.25</v>
      </c>
      <c r="AF59" s="20">
        <f t="shared" si="17"/>
        <v>101.61680574027795</v>
      </c>
      <c r="AG59" s="35">
        <f t="shared" si="29"/>
        <v>99.608775909082496</v>
      </c>
      <c r="AH59" s="12">
        <f>Weights!$E$9*Index!B59/M59</f>
        <v>1.8242151519407675E-2</v>
      </c>
      <c r="AI59" s="12">
        <f>Weights!$E$10*Index!C59/N59</f>
        <v>2.0782381191312451E-2</v>
      </c>
      <c r="AJ59" s="12">
        <f>Weights!$E$11*Index!D59/O59</f>
        <v>0</v>
      </c>
      <c r="AK59" s="12">
        <f>Weights!$E$12*Index!E59/P59</f>
        <v>0.18873775900392795</v>
      </c>
      <c r="AL59" s="12">
        <f>Weights!$E$13*Index!F59/Q59</f>
        <v>0.33109886934487204</v>
      </c>
      <c r="AM59" s="12">
        <f>Weights!$E$14*Index!G59/R59</f>
        <v>0</v>
      </c>
      <c r="AN59" s="12">
        <f>Weights!$E$15*Index!H59/S59</f>
        <v>0.21296454739380447</v>
      </c>
      <c r="AO59" s="12">
        <f>Weights!$E$16*Index!I59/T59</f>
        <v>0</v>
      </c>
      <c r="AP59" s="12">
        <f>Weights!$E$17*Index!J59/U59</f>
        <v>0.25</v>
      </c>
      <c r="AQ59" s="45">
        <f t="shared" si="18"/>
        <v>101.78280801146668</v>
      </c>
    </row>
    <row r="60" spans="1:43" x14ac:dyDescent="0.25">
      <c r="A60" s="8">
        <v>46080</v>
      </c>
      <c r="B60" s="22">
        <v>115.295</v>
      </c>
      <c r="C60" s="22">
        <v>140.34</v>
      </c>
      <c r="D60" s="22">
        <v>162.14425800000001</v>
      </c>
      <c r="E60" s="22">
        <v>127.267824</v>
      </c>
      <c r="F60" s="22">
        <v>19255.7</v>
      </c>
      <c r="G60" s="22">
        <v>358.3</v>
      </c>
      <c r="H60" s="22">
        <v>2603.25</v>
      </c>
      <c r="I60" s="22">
        <v>607.70000000000005</v>
      </c>
      <c r="J60" s="22">
        <v>390.51</v>
      </c>
      <c r="K60" s="9" t="str">
        <f t="shared" si="15"/>
        <v/>
      </c>
      <c r="L60" s="10">
        <f t="shared" si="16"/>
        <v>33</v>
      </c>
      <c r="M60" s="27">
        <f t="shared" si="19"/>
        <v>115.30240000000001</v>
      </c>
      <c r="N60" s="14">
        <f t="shared" si="20"/>
        <v>139.51</v>
      </c>
      <c r="O60" s="14">
        <f t="shared" si="21"/>
        <v>160.37584100000001</v>
      </c>
      <c r="P60" s="14">
        <f t="shared" si="22"/>
        <v>126.024174</v>
      </c>
      <c r="Q60" s="14">
        <f t="shared" si="23"/>
        <v>18220.41</v>
      </c>
      <c r="R60" s="14">
        <f t="shared" si="24"/>
        <v>356.27</v>
      </c>
      <c r="S60" s="14">
        <f t="shared" si="25"/>
        <v>2587.6799999999998</v>
      </c>
      <c r="T60" s="14">
        <f t="shared" si="26"/>
        <v>605.89</v>
      </c>
      <c r="U60" s="14">
        <f t="shared" si="27"/>
        <v>390.51</v>
      </c>
      <c r="V60" s="36">
        <f t="shared" si="28"/>
        <v>100.48848785923808</v>
      </c>
      <c r="W60" s="13">
        <f>Weights!$B$9*Index!B60/Index!M60</f>
        <v>2.9998074628108346E-2</v>
      </c>
      <c r="X60" s="13">
        <f>Weights!$B$10*Index!C60/Index!N60</f>
        <v>0.25148734857716293</v>
      </c>
      <c r="Y60" s="13">
        <f>Weights!$B$11*Index!D60/Index!O60</f>
        <v>7.0771869311662738E-2</v>
      </c>
      <c r="Z60" s="13">
        <f>Weights!$B$12*Index!E60/Index!P60</f>
        <v>2.0197366895656068E-2</v>
      </c>
      <c r="AA60" s="13">
        <f>Weights!$B$13*Index!F60/Index!Q60</f>
        <v>0.13738664497670469</v>
      </c>
      <c r="AB60" s="13">
        <f>Weights!$B$14*Index!G60/Index!R60</f>
        <v>0.20113958514609709</v>
      </c>
      <c r="AC60" s="13">
        <f>Weights!$B$15*Index!H60/Index!S60</f>
        <v>5.0300848636616581E-2</v>
      </c>
      <c r="AD60" s="13">
        <f>Weights!$B$16*Index!I60/Index!T60</f>
        <v>0</v>
      </c>
      <c r="AE60" s="13">
        <f>Weights!$B$17*Index!J60/Index!U60</f>
        <v>0.25</v>
      </c>
      <c r="AF60" s="20">
        <f t="shared" si="17"/>
        <v>101.62217266856703</v>
      </c>
      <c r="AG60" s="35">
        <f t="shared" si="29"/>
        <v>99.608775909082496</v>
      </c>
      <c r="AH60" s="12">
        <f>Weights!$E$9*Index!B60/M60</f>
        <v>1.8242072408984806E-2</v>
      </c>
      <c r="AI60" s="12">
        <f>Weights!$E$10*Index!C60/N60</f>
        <v>2.0798683422868069E-2</v>
      </c>
      <c r="AJ60" s="12">
        <f>Weights!$E$11*Index!D60/O60</f>
        <v>0</v>
      </c>
      <c r="AK60" s="12">
        <f>Weights!$E$12*Index!E60/P60</f>
        <v>0.18791739334674598</v>
      </c>
      <c r="AL60" s="12">
        <f>Weights!$E$13*Index!F60/Q60</f>
        <v>0.33289840898201517</v>
      </c>
      <c r="AM60" s="12">
        <f>Weights!$E$14*Index!G60/R60</f>
        <v>0</v>
      </c>
      <c r="AN60" s="12">
        <f>Weights!$E$15*Index!H60/S60</f>
        <v>0.21126356427378962</v>
      </c>
      <c r="AO60" s="12">
        <f>Weights!$E$16*Index!I60/T60</f>
        <v>0</v>
      </c>
      <c r="AP60" s="12">
        <f>Weights!$E$17*Index!J60/U60</f>
        <v>0.25</v>
      </c>
      <c r="AQ60" s="45">
        <f t="shared" si="18"/>
        <v>101.71252545182341</v>
      </c>
    </row>
    <row r="61" spans="1:43" x14ac:dyDescent="0.25">
      <c r="A61" s="8">
        <v>46081</v>
      </c>
      <c r="B61" s="22">
        <v>115.295</v>
      </c>
      <c r="C61" s="22">
        <v>140.34</v>
      </c>
      <c r="D61" s="22">
        <v>162.14425800000001</v>
      </c>
      <c r="E61" s="22">
        <v>127.267824</v>
      </c>
      <c r="F61" s="22">
        <v>19255.7</v>
      </c>
      <c r="G61" s="22">
        <v>358.3</v>
      </c>
      <c r="H61" s="22">
        <v>2603.25</v>
      </c>
      <c r="I61" s="22">
        <v>607.70000000000005</v>
      </c>
      <c r="J61" s="22">
        <v>391.5</v>
      </c>
      <c r="K61" s="9" t="str">
        <f t="shared" si="15"/>
        <v>✔</v>
      </c>
      <c r="L61" s="10">
        <f t="shared" si="16"/>
        <v>33</v>
      </c>
      <c r="M61" s="27">
        <f t="shared" si="19"/>
        <v>115.30240000000001</v>
      </c>
      <c r="N61" s="14">
        <f t="shared" si="20"/>
        <v>139.51</v>
      </c>
      <c r="O61" s="14">
        <f t="shared" si="21"/>
        <v>160.37584100000001</v>
      </c>
      <c r="P61" s="14">
        <f t="shared" si="22"/>
        <v>126.024174</v>
      </c>
      <c r="Q61" s="14">
        <f t="shared" si="23"/>
        <v>18220.41</v>
      </c>
      <c r="R61" s="14">
        <f t="shared" si="24"/>
        <v>356.27</v>
      </c>
      <c r="S61" s="14">
        <f t="shared" si="25"/>
        <v>2587.6799999999998</v>
      </c>
      <c r="T61" s="14">
        <f t="shared" si="26"/>
        <v>605.89</v>
      </c>
      <c r="U61" s="14">
        <f t="shared" si="27"/>
        <v>390.51</v>
      </c>
      <c r="V61" s="36">
        <f t="shared" si="28"/>
        <v>100.48848785923808</v>
      </c>
      <c r="W61" s="13">
        <f>Weights!$B$9*Index!B61/Index!M61</f>
        <v>2.9998074628108346E-2</v>
      </c>
      <c r="X61" s="13">
        <f>Weights!$B$10*Index!C61/Index!N61</f>
        <v>0.25148734857716293</v>
      </c>
      <c r="Y61" s="13">
        <f>Weights!$B$11*Index!D61/Index!O61</f>
        <v>7.0771869311662738E-2</v>
      </c>
      <c r="Z61" s="13">
        <f>Weights!$B$12*Index!E61/Index!P61</f>
        <v>2.0197366895656068E-2</v>
      </c>
      <c r="AA61" s="13">
        <f>Weights!$B$13*Index!F61/Index!Q61</f>
        <v>0.13738664497670469</v>
      </c>
      <c r="AB61" s="13">
        <f>Weights!$B$14*Index!G61/Index!R61</f>
        <v>0.20113958514609709</v>
      </c>
      <c r="AC61" s="13">
        <f>Weights!$B$15*Index!H61/Index!S61</f>
        <v>5.0300848636616581E-2</v>
      </c>
      <c r="AD61" s="13">
        <f>Weights!$B$16*Index!I61/Index!T61</f>
        <v>0</v>
      </c>
      <c r="AE61" s="13">
        <f>Weights!$B$17*Index!J61/Index!U61</f>
        <v>0.25063378658677116</v>
      </c>
      <c r="AF61" s="20">
        <f t="shared" si="17"/>
        <v>101.68586092429716</v>
      </c>
      <c r="AG61" s="35">
        <f t="shared" si="29"/>
        <v>99.608775909082496</v>
      </c>
      <c r="AH61" s="12">
        <f>Weights!$E$9*Index!B61/M61</f>
        <v>1.8242072408984806E-2</v>
      </c>
      <c r="AI61" s="12">
        <f>Weights!$E$10*Index!C61/N61</f>
        <v>2.0798683422868069E-2</v>
      </c>
      <c r="AJ61" s="12">
        <f>Weights!$E$11*Index!D61/O61</f>
        <v>0</v>
      </c>
      <c r="AK61" s="12">
        <f>Weights!$E$12*Index!E61/P61</f>
        <v>0.18791739334674598</v>
      </c>
      <c r="AL61" s="12">
        <f>Weights!$E$13*Index!F61/Q61</f>
        <v>0.33289840898201517</v>
      </c>
      <c r="AM61" s="12">
        <f>Weights!$E$14*Index!G61/R61</f>
        <v>0</v>
      </c>
      <c r="AN61" s="12">
        <f>Weights!$E$15*Index!H61/S61</f>
        <v>0.21126356427378962</v>
      </c>
      <c r="AO61" s="12">
        <f>Weights!$E$16*Index!I61/T61</f>
        <v>0</v>
      </c>
      <c r="AP61" s="12">
        <f>Weights!$E$17*Index!J61/U61</f>
        <v>0.25063378658677116</v>
      </c>
      <c r="AQ61" s="45">
        <f t="shared" si="18"/>
        <v>101.77565615791927</v>
      </c>
    </row>
    <row r="62" spans="1:43" x14ac:dyDescent="0.25">
      <c r="A62" s="8">
        <v>46082</v>
      </c>
      <c r="B62" s="22">
        <v>115.295</v>
      </c>
      <c r="C62" s="22">
        <v>140.34</v>
      </c>
      <c r="D62" s="22">
        <v>162.14425800000001</v>
      </c>
      <c r="E62" s="22">
        <v>127.267824</v>
      </c>
      <c r="F62" s="22">
        <v>19255.7</v>
      </c>
      <c r="G62" s="22">
        <v>358.3</v>
      </c>
      <c r="H62" s="22">
        <v>2603.25</v>
      </c>
      <c r="I62" s="22">
        <v>607.70000000000005</v>
      </c>
      <c r="J62" s="22">
        <v>391.5</v>
      </c>
      <c r="K62" s="9" t="str">
        <f t="shared" si="15"/>
        <v/>
      </c>
      <c r="L62" s="10">
        <f t="shared" si="16"/>
        <v>61</v>
      </c>
      <c r="M62" s="27">
        <f t="shared" si="19"/>
        <v>115.295</v>
      </c>
      <c r="N62" s="14">
        <f t="shared" si="20"/>
        <v>140.34</v>
      </c>
      <c r="O62" s="14">
        <f t="shared" si="21"/>
        <v>162.14425800000001</v>
      </c>
      <c r="P62" s="14">
        <f t="shared" si="22"/>
        <v>127.267824</v>
      </c>
      <c r="Q62" s="14">
        <f t="shared" si="23"/>
        <v>19255.7</v>
      </c>
      <c r="R62" s="14">
        <f t="shared" si="24"/>
        <v>358.3</v>
      </c>
      <c r="S62" s="14">
        <f t="shared" si="25"/>
        <v>2603.25</v>
      </c>
      <c r="T62" s="14">
        <f t="shared" si="26"/>
        <v>607.70000000000005</v>
      </c>
      <c r="U62" s="14">
        <f t="shared" si="27"/>
        <v>391.5</v>
      </c>
      <c r="V62" s="36">
        <f t="shared" si="28"/>
        <v>101.68586092429716</v>
      </c>
      <c r="W62" s="13">
        <f>Weights!$B$9*Index!B62/Index!M62</f>
        <v>0.03</v>
      </c>
      <c r="X62" s="13">
        <f>Weights!$B$10*Index!C62/Index!N62</f>
        <v>0.25</v>
      </c>
      <c r="Y62" s="13">
        <f>Weights!$B$11*Index!D62/Index!O62</f>
        <v>7.0000000000000007E-2</v>
      </c>
      <c r="Z62" s="13">
        <f>Weights!$B$12*Index!E62/Index!P62</f>
        <v>0.02</v>
      </c>
      <c r="AA62" s="13">
        <f>Weights!$B$13*Index!F62/Index!Q62</f>
        <v>0.13</v>
      </c>
      <c r="AB62" s="13">
        <f>Weights!$B$14*Index!G62/Index!R62</f>
        <v>0.2</v>
      </c>
      <c r="AC62" s="13">
        <f>Weights!$B$15*Index!H62/Index!S62</f>
        <v>4.9999999999999996E-2</v>
      </c>
      <c r="AD62" s="13">
        <f>Weights!$B$16*Index!I62/Index!T62</f>
        <v>0</v>
      </c>
      <c r="AE62" s="13">
        <f>Weights!$B$17*Index!J62/Index!U62</f>
        <v>0.25</v>
      </c>
      <c r="AF62" s="20">
        <f t="shared" si="17"/>
        <v>101.68586092429716</v>
      </c>
      <c r="AG62" s="35">
        <f t="shared" si="29"/>
        <v>101.77565615791927</v>
      </c>
      <c r="AH62" s="12">
        <f>Weights!$E$9*Index!B62/M62</f>
        <v>1.8243243243243244E-2</v>
      </c>
      <c r="AI62" s="12">
        <f>Weights!$E$10*Index!C62/N62</f>
        <v>2.0675675675675676E-2</v>
      </c>
      <c r="AJ62" s="12">
        <f>Weights!$E$11*Index!D62/O62</f>
        <v>0</v>
      </c>
      <c r="AK62" s="12">
        <f>Weights!$E$12*Index!E62/P62</f>
        <v>0.1860810810810811</v>
      </c>
      <c r="AL62" s="12">
        <f>Weights!$E$13*Index!F62/Q62</f>
        <v>0.31499999999999995</v>
      </c>
      <c r="AM62" s="12">
        <f>Weights!$E$14*Index!G62/R62</f>
        <v>0</v>
      </c>
      <c r="AN62" s="12">
        <f>Weights!$E$15*Index!H62/S62</f>
        <v>0.20999999999999996</v>
      </c>
      <c r="AO62" s="12">
        <f>Weights!$E$16*Index!I62/T62</f>
        <v>0</v>
      </c>
      <c r="AP62" s="12">
        <f>Weights!$E$17*Index!J62/U62</f>
        <v>0.25</v>
      </c>
      <c r="AQ62" s="45">
        <f t="shared" si="18"/>
        <v>101.77565615791927</v>
      </c>
    </row>
    <row r="63" spans="1:43" x14ac:dyDescent="0.25">
      <c r="A63" s="8">
        <v>46083</v>
      </c>
      <c r="B63" s="22">
        <v>115.2945</v>
      </c>
      <c r="C63" s="22">
        <v>139.96</v>
      </c>
      <c r="D63" s="22">
        <v>161.62214699999998</v>
      </c>
      <c r="E63" s="22">
        <v>128.16153399999999</v>
      </c>
      <c r="F63" s="22">
        <v>19027.830000000002</v>
      </c>
      <c r="G63" s="22">
        <v>357.4</v>
      </c>
      <c r="H63" s="22">
        <v>2627.91</v>
      </c>
      <c r="I63" s="22">
        <v>601.88</v>
      </c>
      <c r="J63" s="22">
        <v>391.5</v>
      </c>
      <c r="K63" s="9" t="str">
        <f t="shared" si="15"/>
        <v/>
      </c>
      <c r="L63" s="10">
        <f t="shared" si="16"/>
        <v>61</v>
      </c>
      <c r="M63" s="27">
        <f t="shared" si="19"/>
        <v>115.295</v>
      </c>
      <c r="N63" s="14">
        <f t="shared" si="20"/>
        <v>140.34</v>
      </c>
      <c r="O63" s="14">
        <f t="shared" si="21"/>
        <v>162.14425800000001</v>
      </c>
      <c r="P63" s="14">
        <f t="shared" si="22"/>
        <v>127.267824</v>
      </c>
      <c r="Q63" s="14">
        <f t="shared" si="23"/>
        <v>19255.7</v>
      </c>
      <c r="R63" s="14">
        <f t="shared" si="24"/>
        <v>358.3</v>
      </c>
      <c r="S63" s="14">
        <f t="shared" si="25"/>
        <v>2603.25</v>
      </c>
      <c r="T63" s="14">
        <f t="shared" si="26"/>
        <v>607.70000000000005</v>
      </c>
      <c r="U63" s="14">
        <f t="shared" si="27"/>
        <v>391.5</v>
      </c>
      <c r="V63" s="36">
        <f t="shared" si="28"/>
        <v>101.68586092429716</v>
      </c>
      <c r="W63" s="13">
        <f>Weights!$B$9*Index!B63/Index!M63</f>
        <v>2.999986989895485E-2</v>
      </c>
      <c r="X63" s="13">
        <f>Weights!$B$10*Index!C63/Index!N63</f>
        <v>0.24932307253812172</v>
      </c>
      <c r="Y63" s="13">
        <f>Weights!$B$11*Index!D63/Index!O63</f>
        <v>6.9774597198502084E-2</v>
      </c>
      <c r="Z63" s="13">
        <f>Weights!$B$12*Index!E63/Index!P63</f>
        <v>2.0140445553622412E-2</v>
      </c>
      <c r="AA63" s="13">
        <f>Weights!$B$13*Index!F63/Index!Q63</f>
        <v>0.12846159319058773</v>
      </c>
      <c r="AB63" s="13">
        <f>Weights!$B$14*Index!G63/Index!R63</f>
        <v>0.19949762768629639</v>
      </c>
      <c r="AC63" s="13">
        <f>Weights!$B$15*Index!H63/Index!S63</f>
        <v>5.047363872082973E-2</v>
      </c>
      <c r="AD63" s="13">
        <f>Weights!$B$16*Index!I63/Index!T63</f>
        <v>0</v>
      </c>
      <c r="AE63" s="13">
        <f>Weights!$B$17*Index!J63/Index!U63</f>
        <v>0.25</v>
      </c>
      <c r="AF63" s="20">
        <f t="shared" si="17"/>
        <v>101.4490187712283</v>
      </c>
      <c r="AG63" s="35">
        <f t="shared" si="29"/>
        <v>101.77565615791927</v>
      </c>
      <c r="AH63" s="12">
        <f>Weights!$E$9*Index!B63/M63</f>
        <v>1.8243164127742819E-2</v>
      </c>
      <c r="AI63" s="12">
        <f>Weights!$E$10*Index!C63/N63</f>
        <v>2.061969194504466E-2</v>
      </c>
      <c r="AJ63" s="12">
        <f>Weights!$E$11*Index!D63/O63</f>
        <v>0</v>
      </c>
      <c r="AK63" s="12">
        <f>Weights!$E$12*Index!E63/P63</f>
        <v>0.18738779410363557</v>
      </c>
      <c r="AL63" s="12">
        <f>Weights!$E$13*Index!F63/Q63</f>
        <v>0.31127232196180865</v>
      </c>
      <c r="AM63" s="12">
        <f>Weights!$E$14*Index!G63/R63</f>
        <v>0</v>
      </c>
      <c r="AN63" s="12">
        <f>Weights!$E$15*Index!H63/S63</f>
        <v>0.21198928262748482</v>
      </c>
      <c r="AO63" s="12">
        <f>Weights!$E$16*Index!I63/T63</f>
        <v>0</v>
      </c>
      <c r="AP63" s="12">
        <f>Weights!$E$17*Index!J63/U63</f>
        <v>0.25</v>
      </c>
      <c r="AQ63" s="45">
        <f t="shared" si="18"/>
        <v>101.72601556666218</v>
      </c>
    </row>
    <row r="64" spans="1:43" x14ac:dyDescent="0.25">
      <c r="A64" s="8">
        <v>46084</v>
      </c>
      <c r="B64" s="22">
        <v>115.2942</v>
      </c>
      <c r="C64" s="22">
        <v>139.49</v>
      </c>
      <c r="D64" s="22">
        <v>161.14850100000001</v>
      </c>
      <c r="E64" s="22">
        <v>128.093727</v>
      </c>
      <c r="F64" s="22">
        <v>18470.759999999998</v>
      </c>
      <c r="G64" s="22">
        <v>351.97</v>
      </c>
      <c r="H64" s="22">
        <v>2598.67</v>
      </c>
      <c r="I64" s="22">
        <v>598.61</v>
      </c>
      <c r="J64" s="22">
        <v>391.5</v>
      </c>
      <c r="K64" s="9" t="str">
        <f t="shared" si="15"/>
        <v/>
      </c>
      <c r="L64" s="10">
        <f t="shared" si="16"/>
        <v>61</v>
      </c>
      <c r="M64" s="27">
        <f t="shared" si="19"/>
        <v>115.295</v>
      </c>
      <c r="N64" s="14">
        <f t="shared" si="20"/>
        <v>140.34</v>
      </c>
      <c r="O64" s="14">
        <f t="shared" si="21"/>
        <v>162.14425800000001</v>
      </c>
      <c r="P64" s="14">
        <f t="shared" si="22"/>
        <v>127.267824</v>
      </c>
      <c r="Q64" s="14">
        <f t="shared" si="23"/>
        <v>19255.7</v>
      </c>
      <c r="R64" s="14">
        <f t="shared" si="24"/>
        <v>358.3</v>
      </c>
      <c r="S64" s="14">
        <f t="shared" si="25"/>
        <v>2603.25</v>
      </c>
      <c r="T64" s="14">
        <f t="shared" si="26"/>
        <v>607.70000000000005</v>
      </c>
      <c r="U64" s="14">
        <f t="shared" si="27"/>
        <v>391.5</v>
      </c>
      <c r="V64" s="36">
        <f t="shared" si="28"/>
        <v>101.68586092429716</v>
      </c>
      <c r="W64" s="13">
        <f>Weights!$B$9*Index!B64/Index!M64</f>
        <v>2.999979183832777E-2</v>
      </c>
      <c r="X64" s="13">
        <f>Weights!$B$10*Index!C64/Index!N64</f>
        <v>0.24848582015106171</v>
      </c>
      <c r="Y64" s="13">
        <f>Weights!$B$11*Index!D64/Index!O64</f>
        <v>6.9570117432095568E-2</v>
      </c>
      <c r="Z64" s="13">
        <f>Weights!$B$12*Index!E64/Index!P64</f>
        <v>2.0129789757385969E-2</v>
      </c>
      <c r="AA64" s="13">
        <f>Weights!$B$13*Index!F64/Index!Q64</f>
        <v>0.12470067564409497</v>
      </c>
      <c r="AB64" s="13">
        <f>Weights!$B$14*Index!G64/Index!R64</f>
        <v>0.19646664806028469</v>
      </c>
      <c r="AC64" s="13">
        <f>Weights!$B$15*Index!H64/Index!S64</f>
        <v>4.9912033035628543E-2</v>
      </c>
      <c r="AD64" s="13">
        <f>Weights!$B$16*Index!I64/Index!T64</f>
        <v>0</v>
      </c>
      <c r="AE64" s="13">
        <f>Weights!$B$17*Index!J64/Index!U64</f>
        <v>0.25</v>
      </c>
      <c r="AF64" s="20">
        <f t="shared" si="17"/>
        <v>100.59425058997924</v>
      </c>
      <c r="AG64" s="35">
        <f t="shared" si="29"/>
        <v>101.77565615791927</v>
      </c>
      <c r="AH64" s="12">
        <f>Weights!$E$9*Index!B64/M64</f>
        <v>1.8243116658442561E-2</v>
      </c>
      <c r="AI64" s="12">
        <f>Weights!$E$10*Index!C64/N64</f>
        <v>2.0550448909790509E-2</v>
      </c>
      <c r="AJ64" s="12">
        <f>Weights!$E$11*Index!D64/O64</f>
        <v>0</v>
      </c>
      <c r="AK64" s="12">
        <f>Weights!$E$12*Index!E64/P64</f>
        <v>0.18728865199946271</v>
      </c>
      <c r="AL64" s="12">
        <f>Weights!$E$13*Index!F64/Q64</f>
        <v>0.30215932944530705</v>
      </c>
      <c r="AM64" s="12">
        <f>Weights!$E$14*Index!G64/R64</f>
        <v>0</v>
      </c>
      <c r="AN64" s="12">
        <f>Weights!$E$15*Index!H64/S64</f>
        <v>0.20963053874963986</v>
      </c>
      <c r="AO64" s="12">
        <f>Weights!$E$16*Index!I64/T64</f>
        <v>0</v>
      </c>
      <c r="AP64" s="12">
        <f>Weights!$E$17*Index!J64/U64</f>
        <v>0.25</v>
      </c>
      <c r="AQ64" s="45">
        <f t="shared" si="18"/>
        <v>100.54132972858527</v>
      </c>
    </row>
    <row r="65" spans="1:43" x14ac:dyDescent="0.25">
      <c r="A65" s="8">
        <v>46085</v>
      </c>
      <c r="B65" s="22">
        <v>115.294</v>
      </c>
      <c r="C65" s="22">
        <v>139.41</v>
      </c>
      <c r="D65" s="22">
        <v>161.22589299999999</v>
      </c>
      <c r="E65" s="22">
        <v>127.651991</v>
      </c>
      <c r="F65" s="22">
        <v>18619.72</v>
      </c>
      <c r="G65" s="22">
        <v>353.76</v>
      </c>
      <c r="H65" s="22">
        <v>2600.58</v>
      </c>
      <c r="I65" s="22">
        <v>597.98</v>
      </c>
      <c r="J65" s="22">
        <v>391.5</v>
      </c>
      <c r="K65" s="9" t="str">
        <f t="shared" si="15"/>
        <v/>
      </c>
      <c r="L65" s="10">
        <f t="shared" si="16"/>
        <v>61</v>
      </c>
      <c r="M65" s="27">
        <f t="shared" si="19"/>
        <v>115.295</v>
      </c>
      <c r="N65" s="14">
        <f t="shared" si="20"/>
        <v>140.34</v>
      </c>
      <c r="O65" s="14">
        <f t="shared" si="21"/>
        <v>162.14425800000001</v>
      </c>
      <c r="P65" s="14">
        <f t="shared" si="22"/>
        <v>127.267824</v>
      </c>
      <c r="Q65" s="14">
        <f t="shared" si="23"/>
        <v>19255.7</v>
      </c>
      <c r="R65" s="14">
        <f t="shared" si="24"/>
        <v>358.3</v>
      </c>
      <c r="S65" s="14">
        <f t="shared" si="25"/>
        <v>2603.25</v>
      </c>
      <c r="T65" s="14">
        <f t="shared" si="26"/>
        <v>607.70000000000005</v>
      </c>
      <c r="U65" s="14">
        <f t="shared" si="27"/>
        <v>391.5</v>
      </c>
      <c r="V65" s="36">
        <f t="shared" si="28"/>
        <v>101.68586092429716</v>
      </c>
      <c r="W65" s="13">
        <f>Weights!$B$9*Index!B65/Index!M65</f>
        <v>2.9999739797909708E-2</v>
      </c>
      <c r="X65" s="13">
        <f>Weights!$B$10*Index!C65/Index!N65</f>
        <v>0.24834330910645575</v>
      </c>
      <c r="Y65" s="13">
        <f>Weights!$B$11*Index!D65/Index!O65</f>
        <v>6.9603528667663325E-2</v>
      </c>
      <c r="Z65" s="13">
        <f>Weights!$B$12*Index!E65/Index!P65</f>
        <v>2.0060371425852302E-2</v>
      </c>
      <c r="AA65" s="13">
        <f>Weights!$B$13*Index!F65/Index!Q65</f>
        <v>0.12570634149888088</v>
      </c>
      <c r="AB65" s="13">
        <f>Weights!$B$14*Index!G65/Index!R65</f>
        <v>0.19746581077309516</v>
      </c>
      <c r="AC65" s="13">
        <f>Weights!$B$15*Index!H65/Index!S65</f>
        <v>4.9948717948717948E-2</v>
      </c>
      <c r="AD65" s="13">
        <f>Weights!$B$16*Index!I65/Index!T65</f>
        <v>0</v>
      </c>
      <c r="AE65" s="13">
        <f>Weights!$B$17*Index!J65/Index!U65</f>
        <v>0.25</v>
      </c>
      <c r="AF65" s="20">
        <f t="shared" si="17"/>
        <v>100.78368558326196</v>
      </c>
      <c r="AG65" s="35">
        <f t="shared" si="29"/>
        <v>101.77565615791927</v>
      </c>
      <c r="AH65" s="12">
        <f>Weights!$E$9*Index!B65/M65</f>
        <v>1.8243085012242394E-2</v>
      </c>
      <c r="AI65" s="12">
        <f>Weights!$E$10*Index!C65/N65</f>
        <v>2.0538662861236609E-2</v>
      </c>
      <c r="AJ65" s="12">
        <f>Weights!$E$11*Index!D65/O65</f>
        <v>0</v>
      </c>
      <c r="AK65" s="12">
        <f>Weights!$E$12*Index!E65/P65</f>
        <v>0.18664278009053123</v>
      </c>
      <c r="AL65" s="12">
        <f>Weights!$E$13*Index!F65/Q65</f>
        <v>0.3045961351703651</v>
      </c>
      <c r="AM65" s="12">
        <f>Weights!$E$14*Index!G65/R65</f>
        <v>0</v>
      </c>
      <c r="AN65" s="12">
        <f>Weights!$E$15*Index!H65/S65</f>
        <v>0.20978461538461535</v>
      </c>
      <c r="AO65" s="12">
        <f>Weights!$E$16*Index!I65/T65</f>
        <v>0</v>
      </c>
      <c r="AP65" s="12">
        <f>Weights!$E$17*Index!J65/U65</f>
        <v>0.25</v>
      </c>
      <c r="AQ65" s="45">
        <f t="shared" si="18"/>
        <v>100.73808168984232</v>
      </c>
    </row>
    <row r="66" spans="1:43" x14ac:dyDescent="0.25">
      <c r="A66" s="8">
        <v>46086</v>
      </c>
      <c r="B66" s="22">
        <v>115.2937</v>
      </c>
      <c r="C66" s="22">
        <v>139.06</v>
      </c>
      <c r="D66" s="22">
        <v>160.72505899999999</v>
      </c>
      <c r="E66" s="22">
        <v>127.353003</v>
      </c>
      <c r="F66" s="22">
        <v>18353.79</v>
      </c>
      <c r="G66" s="22">
        <v>351.89</v>
      </c>
      <c r="H66" s="22">
        <v>2589.92</v>
      </c>
      <c r="I66" s="22">
        <v>599.29</v>
      </c>
      <c r="J66" s="22">
        <v>391.5</v>
      </c>
      <c r="K66" s="9" t="str">
        <f t="shared" si="15"/>
        <v/>
      </c>
      <c r="L66" s="10">
        <f t="shared" si="16"/>
        <v>61</v>
      </c>
      <c r="M66" s="27">
        <f t="shared" si="19"/>
        <v>115.295</v>
      </c>
      <c r="N66" s="14">
        <f t="shared" si="20"/>
        <v>140.34</v>
      </c>
      <c r="O66" s="14">
        <f t="shared" si="21"/>
        <v>162.14425800000001</v>
      </c>
      <c r="P66" s="14">
        <f t="shared" si="22"/>
        <v>127.267824</v>
      </c>
      <c r="Q66" s="14">
        <f t="shared" si="23"/>
        <v>19255.7</v>
      </c>
      <c r="R66" s="14">
        <f t="shared" si="24"/>
        <v>358.3</v>
      </c>
      <c r="S66" s="14">
        <f t="shared" si="25"/>
        <v>2603.25</v>
      </c>
      <c r="T66" s="14">
        <f t="shared" si="26"/>
        <v>607.70000000000005</v>
      </c>
      <c r="U66" s="14">
        <f t="shared" si="27"/>
        <v>391.5</v>
      </c>
      <c r="V66" s="36">
        <f t="shared" si="28"/>
        <v>101.68586092429716</v>
      </c>
      <c r="W66" s="13">
        <f>Weights!$B$9*Index!B66/Index!M66</f>
        <v>2.9999661737282621E-2</v>
      </c>
      <c r="X66" s="13">
        <f>Weights!$B$10*Index!C66/Index!N66</f>
        <v>0.24771982328630468</v>
      </c>
      <c r="Y66" s="13">
        <f>Weights!$B$11*Index!D66/Index!O66</f>
        <v>6.9387311452003442E-2</v>
      </c>
      <c r="Z66" s="13">
        <f>Weights!$B$12*Index!E66/Index!P66</f>
        <v>2.0013385787125582E-2</v>
      </c>
      <c r="AA66" s="13">
        <f>Weights!$B$13*Index!F66/Index!Q66</f>
        <v>0.12391098220267246</v>
      </c>
      <c r="AB66" s="13">
        <f>Weights!$B$14*Index!G66/Index!R66</f>
        <v>0.19642199274351102</v>
      </c>
      <c r="AC66" s="13">
        <f>Weights!$B$15*Index!H66/Index!S66</f>
        <v>4.9743973878805345E-2</v>
      </c>
      <c r="AD66" s="13">
        <f>Weights!$B$16*Index!I66/Index!T66</f>
        <v>0</v>
      </c>
      <c r="AE66" s="13">
        <f>Weights!$B$17*Index!J66/Index!U66</f>
        <v>0.25</v>
      </c>
      <c r="AF66" s="20">
        <f t="shared" si="17"/>
        <v>100.38399017664953</v>
      </c>
      <c r="AG66" s="35">
        <f t="shared" si="29"/>
        <v>101.77565615791927</v>
      </c>
      <c r="AH66" s="12">
        <f>Weights!$E$9*Index!B66/M66</f>
        <v>1.8243037542942136E-2</v>
      </c>
      <c r="AI66" s="12">
        <f>Weights!$E$10*Index!C66/N66</f>
        <v>2.0487098898813307E-2</v>
      </c>
      <c r="AJ66" s="12">
        <f>Weights!$E$11*Index!D66/O66</f>
        <v>0</v>
      </c>
      <c r="AK66" s="12">
        <f>Weights!$E$12*Index!E66/P66</f>
        <v>0.18620562316805359</v>
      </c>
      <c r="AL66" s="12">
        <f>Weights!$E$13*Index!F66/Q66</f>
        <v>0.3002458414910909</v>
      </c>
      <c r="AM66" s="12">
        <f>Weights!$E$14*Index!G66/R66</f>
        <v>0</v>
      </c>
      <c r="AN66" s="12">
        <f>Weights!$E$15*Index!H66/S66</f>
        <v>0.20892469029098237</v>
      </c>
      <c r="AO66" s="12">
        <f>Weights!$E$16*Index!I66/T66</f>
        <v>0</v>
      </c>
      <c r="AP66" s="12">
        <f>Weights!$E$17*Index!J66/U66</f>
        <v>0.25</v>
      </c>
      <c r="AQ66" s="45">
        <f t="shared" si="18"/>
        <v>100.15806353554532</v>
      </c>
    </row>
    <row r="67" spans="1:43" x14ac:dyDescent="0.25">
      <c r="A67" s="8">
        <v>46087</v>
      </c>
      <c r="B67" s="22">
        <v>115.29349999999999</v>
      </c>
      <c r="C67" s="22">
        <v>138.76</v>
      </c>
      <c r="D67" s="22">
        <v>160.41200000000001</v>
      </c>
      <c r="E67" s="22">
        <v>126.76861099999999</v>
      </c>
      <c r="F67" s="22">
        <v>18099.810000000001</v>
      </c>
      <c r="G67" s="22">
        <v>347.73</v>
      </c>
      <c r="H67" s="22">
        <v>2553.38</v>
      </c>
      <c r="I67" s="22">
        <v>593.13</v>
      </c>
      <c r="J67" s="22">
        <v>391.5</v>
      </c>
      <c r="K67" s="9" t="str">
        <f t="shared" si="15"/>
        <v/>
      </c>
      <c r="L67" s="10">
        <f t="shared" si="16"/>
        <v>61</v>
      </c>
      <c r="M67" s="27">
        <f t="shared" ref="M67:M98" si="30">INDEX(B:B,L67)</f>
        <v>115.295</v>
      </c>
      <c r="N67" s="14">
        <f t="shared" ref="N67:N98" si="31">INDEX(C:C,$L67)</f>
        <v>140.34</v>
      </c>
      <c r="O67" s="14">
        <f t="shared" ref="O67:O98" si="32">INDEX(D:D,$L67)</f>
        <v>162.14425800000001</v>
      </c>
      <c r="P67" s="14">
        <f t="shared" ref="P67:P98" si="33">INDEX(E:E,$L67)</f>
        <v>127.267824</v>
      </c>
      <c r="Q67" s="14">
        <f t="shared" ref="Q67:Q98" si="34">INDEX(F:F,$L67)</f>
        <v>19255.7</v>
      </c>
      <c r="R67" s="14">
        <f t="shared" ref="R67:R98" si="35">INDEX(G:G,$L67)</f>
        <v>358.3</v>
      </c>
      <c r="S67" s="14">
        <f t="shared" ref="S67:S98" si="36">INDEX(H:H,$L67)</f>
        <v>2603.25</v>
      </c>
      <c r="T67" s="14">
        <f t="shared" ref="T67:T98" si="37">INDEX(I:I,$L67)</f>
        <v>607.70000000000005</v>
      </c>
      <c r="U67" s="14">
        <f t="shared" ref="U67:U98" si="38">INDEX(J:J,$L67)</f>
        <v>391.5</v>
      </c>
      <c r="V67" s="36">
        <f t="shared" ref="V67:V98" si="39">INDEX(AF:AF,L67)</f>
        <v>101.68586092429716</v>
      </c>
      <c r="W67" s="13">
        <f>Weights!$B$9*Index!B67/Index!M67</f>
        <v>2.9999609696864563E-2</v>
      </c>
      <c r="X67" s="13">
        <f>Weights!$B$10*Index!C67/Index!N67</f>
        <v>0.24718540686903231</v>
      </c>
      <c r="Y67" s="13">
        <f>Weights!$B$11*Index!D67/Index!O67</f>
        <v>6.9252159394999985E-2</v>
      </c>
      <c r="Z67" s="13">
        <f>Weights!$B$12*Index!E67/Index!P67</f>
        <v>1.9921549220484822E-2</v>
      </c>
      <c r="AA67" s="13">
        <f>Weights!$B$13*Index!F67/Index!Q67</f>
        <v>0.12219630031626999</v>
      </c>
      <c r="AB67" s="13">
        <f>Weights!$B$14*Index!G67/Index!R67</f>
        <v>0.19409991627128106</v>
      </c>
      <c r="AC67" s="13">
        <f>Weights!$B$15*Index!H67/Index!S67</f>
        <v>4.9042158839911656E-2</v>
      </c>
      <c r="AD67" s="13">
        <f>Weights!$B$16*Index!I67/Index!T67</f>
        <v>0</v>
      </c>
      <c r="AE67" s="13">
        <f>Weights!$B$17*Index!J67/Index!U67</f>
        <v>0.25</v>
      </c>
      <c r="AF67" s="20">
        <f t="shared" si="17"/>
        <v>99.824714842296714</v>
      </c>
      <c r="AG67" s="35">
        <f t="shared" ref="AG67:AG98" si="40">INDEX(AQ:AQ,L67)</f>
        <v>101.77565615791927</v>
      </c>
      <c r="AH67" s="12">
        <f>Weights!$E$9*Index!B67/M67</f>
        <v>1.8243005896741965E-2</v>
      </c>
      <c r="AI67" s="12">
        <f>Weights!$E$10*Index!C67/N67</f>
        <v>2.0442901216736187E-2</v>
      </c>
      <c r="AJ67" s="12">
        <f>Weights!$E$11*Index!D67/O67</f>
        <v>0</v>
      </c>
      <c r="AK67" s="12">
        <f>Weights!$E$12*Index!E67/P67</f>
        <v>0.18535117078788921</v>
      </c>
      <c r="AL67" s="12">
        <f>Weights!$E$13*Index!F67/Q67</f>
        <v>0.29609103538173109</v>
      </c>
      <c r="AM67" s="12">
        <f>Weights!$E$14*Index!G67/R67</f>
        <v>0</v>
      </c>
      <c r="AN67" s="12">
        <f>Weights!$E$15*Index!H67/S67</f>
        <v>0.20597706712762892</v>
      </c>
      <c r="AO67" s="12">
        <f>Weights!$E$16*Index!I67/T67</f>
        <v>0</v>
      </c>
      <c r="AP67" s="12">
        <f>Weights!$E$17*Index!J67/U67</f>
        <v>0.25</v>
      </c>
      <c r="AQ67" s="45">
        <f t="shared" si="18"/>
        <v>99.343745215445935</v>
      </c>
    </row>
    <row r="68" spans="1:43" x14ac:dyDescent="0.25">
      <c r="A68" s="8">
        <v>46088</v>
      </c>
      <c r="B68" s="22">
        <v>115.29349999999999</v>
      </c>
      <c r="C68" s="22">
        <v>138.76</v>
      </c>
      <c r="D68" s="22">
        <v>160.41200000000001</v>
      </c>
      <c r="E68" s="22">
        <v>126.76861099999999</v>
      </c>
      <c r="F68" s="22">
        <v>18099.810000000001</v>
      </c>
      <c r="G68" s="22">
        <v>347.73</v>
      </c>
      <c r="H68" s="22">
        <v>2553.38</v>
      </c>
      <c r="I68" s="22">
        <v>593.13</v>
      </c>
      <c r="J68" s="22">
        <v>391.5</v>
      </c>
      <c r="K68" s="9" t="str">
        <f t="shared" ref="K68:K122" si="41">IF(OR(ROW()=2,MONTH(A69)&lt;&gt;MONTH(A68)),"✔","")</f>
        <v/>
      </c>
      <c r="L68" s="10">
        <f t="shared" si="16"/>
        <v>61</v>
      </c>
      <c r="M68" s="27">
        <f t="shared" si="30"/>
        <v>115.295</v>
      </c>
      <c r="N68" s="14">
        <f t="shared" si="31"/>
        <v>140.34</v>
      </c>
      <c r="O68" s="14">
        <f t="shared" si="32"/>
        <v>162.14425800000001</v>
      </c>
      <c r="P68" s="14">
        <f t="shared" si="33"/>
        <v>127.267824</v>
      </c>
      <c r="Q68" s="14">
        <f t="shared" si="34"/>
        <v>19255.7</v>
      </c>
      <c r="R68" s="14">
        <f t="shared" si="35"/>
        <v>358.3</v>
      </c>
      <c r="S68" s="14">
        <f t="shared" si="36"/>
        <v>2603.25</v>
      </c>
      <c r="T68" s="14">
        <f t="shared" si="37"/>
        <v>607.70000000000005</v>
      </c>
      <c r="U68" s="14">
        <f t="shared" si="38"/>
        <v>391.5</v>
      </c>
      <c r="V68" s="36">
        <f t="shared" si="39"/>
        <v>101.68586092429716</v>
      </c>
      <c r="W68" s="13">
        <f>Weights!$B$9*Index!B68/Index!M68</f>
        <v>2.9999609696864563E-2</v>
      </c>
      <c r="X68" s="13">
        <f>Weights!$B$10*Index!C68/Index!N68</f>
        <v>0.24718540686903231</v>
      </c>
      <c r="Y68" s="13">
        <f>Weights!$B$11*Index!D68/Index!O68</f>
        <v>6.9252159394999985E-2</v>
      </c>
      <c r="Z68" s="13">
        <f>Weights!$B$12*Index!E68/Index!P68</f>
        <v>1.9921549220484822E-2</v>
      </c>
      <c r="AA68" s="13">
        <f>Weights!$B$13*Index!F68/Index!Q68</f>
        <v>0.12219630031626999</v>
      </c>
      <c r="AB68" s="13">
        <f>Weights!$B$14*Index!G68/Index!R68</f>
        <v>0.19409991627128106</v>
      </c>
      <c r="AC68" s="13">
        <f>Weights!$B$15*Index!H68/Index!S68</f>
        <v>4.9042158839911656E-2</v>
      </c>
      <c r="AD68" s="13">
        <f>Weights!$B$16*Index!I68/Index!T68</f>
        <v>0</v>
      </c>
      <c r="AE68" s="13">
        <f>Weights!$B$17*Index!J68/Index!U68</f>
        <v>0.25</v>
      </c>
      <c r="AF68" s="20">
        <f t="shared" si="17"/>
        <v>99.824714842296714</v>
      </c>
      <c r="AG68" s="35">
        <f t="shared" si="40"/>
        <v>101.77565615791927</v>
      </c>
      <c r="AH68" s="12">
        <f>Weights!$E$9*Index!B68/M68</f>
        <v>1.8243005896741965E-2</v>
      </c>
      <c r="AI68" s="12">
        <f>Weights!$E$10*Index!C68/N68</f>
        <v>2.0442901216736187E-2</v>
      </c>
      <c r="AJ68" s="12">
        <f>Weights!$E$11*Index!D68/O68</f>
        <v>0</v>
      </c>
      <c r="AK68" s="12">
        <f>Weights!$E$12*Index!E68/P68</f>
        <v>0.18535117078788921</v>
      </c>
      <c r="AL68" s="12">
        <f>Weights!$E$13*Index!F68/Q68</f>
        <v>0.29609103538173109</v>
      </c>
      <c r="AM68" s="12">
        <f>Weights!$E$14*Index!G68/R68</f>
        <v>0</v>
      </c>
      <c r="AN68" s="12">
        <f>Weights!$E$15*Index!H68/S68</f>
        <v>0.20597706712762892</v>
      </c>
      <c r="AO68" s="12">
        <f>Weights!$E$16*Index!I68/T68</f>
        <v>0</v>
      </c>
      <c r="AP68" s="12">
        <f>Weights!$E$17*Index!J68/U68</f>
        <v>0.25</v>
      </c>
      <c r="AQ68" s="45">
        <f t="shared" si="18"/>
        <v>99.343745215445935</v>
      </c>
    </row>
    <row r="69" spans="1:43" x14ac:dyDescent="0.25">
      <c r="A69" s="8">
        <v>46089</v>
      </c>
      <c r="B69" s="22">
        <v>115.29349999999999</v>
      </c>
      <c r="C69" s="22">
        <v>138.76</v>
      </c>
      <c r="D69" s="22">
        <v>160.41200000000001</v>
      </c>
      <c r="E69" s="22">
        <v>126.76861099999999</v>
      </c>
      <c r="F69" s="22">
        <v>18099.810000000001</v>
      </c>
      <c r="G69" s="22">
        <v>347.73</v>
      </c>
      <c r="H69" s="22">
        <v>2553.38</v>
      </c>
      <c r="I69" s="22">
        <v>593.13</v>
      </c>
      <c r="J69" s="22">
        <v>391.5</v>
      </c>
      <c r="K69" s="9" t="str">
        <f t="shared" si="41"/>
        <v/>
      </c>
      <c r="L69" s="10">
        <f t="shared" si="16"/>
        <v>61</v>
      </c>
      <c r="M69" s="27">
        <f t="shared" si="30"/>
        <v>115.295</v>
      </c>
      <c r="N69" s="14">
        <f t="shared" si="31"/>
        <v>140.34</v>
      </c>
      <c r="O69" s="14">
        <f t="shared" si="32"/>
        <v>162.14425800000001</v>
      </c>
      <c r="P69" s="14">
        <f t="shared" si="33"/>
        <v>127.267824</v>
      </c>
      <c r="Q69" s="14">
        <f t="shared" si="34"/>
        <v>19255.7</v>
      </c>
      <c r="R69" s="14">
        <f t="shared" si="35"/>
        <v>358.3</v>
      </c>
      <c r="S69" s="14">
        <f t="shared" si="36"/>
        <v>2603.25</v>
      </c>
      <c r="T69" s="14">
        <f t="shared" si="37"/>
        <v>607.70000000000005</v>
      </c>
      <c r="U69" s="14">
        <f t="shared" si="38"/>
        <v>391.5</v>
      </c>
      <c r="V69" s="36">
        <f t="shared" si="39"/>
        <v>101.68586092429716</v>
      </c>
      <c r="W69" s="13">
        <f>Weights!$B$9*Index!B69/Index!M69</f>
        <v>2.9999609696864563E-2</v>
      </c>
      <c r="X69" s="13">
        <f>Weights!$B$10*Index!C69/Index!N69</f>
        <v>0.24718540686903231</v>
      </c>
      <c r="Y69" s="13">
        <f>Weights!$B$11*Index!D69/Index!O69</f>
        <v>6.9252159394999985E-2</v>
      </c>
      <c r="Z69" s="13">
        <f>Weights!$B$12*Index!E69/Index!P69</f>
        <v>1.9921549220484822E-2</v>
      </c>
      <c r="AA69" s="13">
        <f>Weights!$B$13*Index!F69/Index!Q69</f>
        <v>0.12219630031626999</v>
      </c>
      <c r="AB69" s="13">
        <f>Weights!$B$14*Index!G69/Index!R69</f>
        <v>0.19409991627128106</v>
      </c>
      <c r="AC69" s="13">
        <f>Weights!$B$15*Index!H69/Index!S69</f>
        <v>4.9042158839911656E-2</v>
      </c>
      <c r="AD69" s="13">
        <f>Weights!$B$16*Index!I69/Index!T69</f>
        <v>0</v>
      </c>
      <c r="AE69" s="13">
        <f>Weights!$B$17*Index!J69/Index!U69</f>
        <v>0.25</v>
      </c>
      <c r="AF69" s="20">
        <f t="shared" si="17"/>
        <v>99.824714842296714</v>
      </c>
      <c r="AG69" s="35">
        <f t="shared" si="40"/>
        <v>101.77565615791927</v>
      </c>
      <c r="AH69" s="12">
        <f>Weights!$E$9*Index!B69/M69</f>
        <v>1.8243005896741965E-2</v>
      </c>
      <c r="AI69" s="12">
        <f>Weights!$E$10*Index!C69/N69</f>
        <v>2.0442901216736187E-2</v>
      </c>
      <c r="AJ69" s="12">
        <f>Weights!$E$11*Index!D69/O69</f>
        <v>0</v>
      </c>
      <c r="AK69" s="12">
        <f>Weights!$E$12*Index!E69/P69</f>
        <v>0.18535117078788921</v>
      </c>
      <c r="AL69" s="12">
        <f>Weights!$E$13*Index!F69/Q69</f>
        <v>0.29609103538173109</v>
      </c>
      <c r="AM69" s="12">
        <f>Weights!$E$14*Index!G69/R69</f>
        <v>0</v>
      </c>
      <c r="AN69" s="12">
        <f>Weights!$E$15*Index!H69/S69</f>
        <v>0.20597706712762892</v>
      </c>
      <c r="AO69" s="12">
        <f>Weights!$E$16*Index!I69/T69</f>
        <v>0</v>
      </c>
      <c r="AP69" s="12">
        <f>Weights!$E$17*Index!J69/U69</f>
        <v>0.25</v>
      </c>
      <c r="AQ69" s="45">
        <f t="shared" si="18"/>
        <v>99.343745215445935</v>
      </c>
    </row>
    <row r="70" spans="1:43" x14ac:dyDescent="0.25">
      <c r="A70" s="8">
        <v>46090</v>
      </c>
      <c r="B70" s="22">
        <v>115.2927</v>
      </c>
      <c r="C70" s="22">
        <v>138.47999999999999</v>
      </c>
      <c r="D70" s="22">
        <v>160.45649600000002</v>
      </c>
      <c r="E70" s="22">
        <v>126.667153</v>
      </c>
      <c r="F70" s="22">
        <v>17964.169999999998</v>
      </c>
      <c r="G70" s="22">
        <v>348.53</v>
      </c>
      <c r="H70" s="22">
        <v>2556.62</v>
      </c>
      <c r="I70" s="22">
        <v>587.83000000000004</v>
      </c>
      <c r="J70" s="22">
        <v>391.5</v>
      </c>
      <c r="K70" s="9" t="str">
        <f t="shared" si="41"/>
        <v/>
      </c>
      <c r="L70" s="10">
        <f t="shared" si="16"/>
        <v>61</v>
      </c>
      <c r="M70" s="27">
        <f t="shared" si="30"/>
        <v>115.295</v>
      </c>
      <c r="N70" s="14">
        <f t="shared" si="31"/>
        <v>140.34</v>
      </c>
      <c r="O70" s="14">
        <f t="shared" si="32"/>
        <v>162.14425800000001</v>
      </c>
      <c r="P70" s="14">
        <f t="shared" si="33"/>
        <v>127.267824</v>
      </c>
      <c r="Q70" s="14">
        <f t="shared" si="34"/>
        <v>19255.7</v>
      </c>
      <c r="R70" s="14">
        <f t="shared" si="35"/>
        <v>358.3</v>
      </c>
      <c r="S70" s="14">
        <f t="shared" si="36"/>
        <v>2603.25</v>
      </c>
      <c r="T70" s="14">
        <f t="shared" si="37"/>
        <v>607.70000000000005</v>
      </c>
      <c r="U70" s="14">
        <f t="shared" si="38"/>
        <v>391.5</v>
      </c>
      <c r="V70" s="36">
        <f t="shared" si="39"/>
        <v>101.68586092429716</v>
      </c>
      <c r="W70" s="13">
        <f>Weights!$B$9*Index!B70/Index!M70</f>
        <v>2.999940153519233E-2</v>
      </c>
      <c r="X70" s="13">
        <f>Weights!$B$10*Index!C70/Index!N70</f>
        <v>0.24668661821291146</v>
      </c>
      <c r="Y70" s="13">
        <f>Weights!$B$11*Index!D70/Index!O70</f>
        <v>6.9271368955908394E-2</v>
      </c>
      <c r="Z70" s="13">
        <f>Weights!$B$12*Index!E70/Index!P70</f>
        <v>1.9905605206230286E-2</v>
      </c>
      <c r="AA70" s="13">
        <f>Weights!$B$13*Index!F70/Index!Q70</f>
        <v>0.12128056108061508</v>
      </c>
      <c r="AB70" s="13">
        <f>Weights!$B$14*Index!G70/Index!R70</f>
        <v>0.19454646943901757</v>
      </c>
      <c r="AC70" s="13">
        <f>Weights!$B$15*Index!H70/Index!S70</f>
        <v>4.9104388744838183E-2</v>
      </c>
      <c r="AD70" s="13">
        <f>Weights!$B$16*Index!I70/Index!T70</f>
        <v>0</v>
      </c>
      <c r="AE70" s="13">
        <f>Weights!$B$17*Index!J70/Index!U70</f>
        <v>0.25</v>
      </c>
      <c r="AF70" s="20">
        <f t="shared" si="17"/>
        <v>99.732924293411543</v>
      </c>
      <c r="AG70" s="35">
        <f t="shared" si="40"/>
        <v>101.77565615791927</v>
      </c>
      <c r="AH70" s="12">
        <f>Weights!$E$9*Index!B70/M70</f>
        <v>1.8242879311941285E-2</v>
      </c>
      <c r="AI70" s="12">
        <f>Weights!$E$10*Index!C70/N70</f>
        <v>2.0401650046797545E-2</v>
      </c>
      <c r="AJ70" s="12">
        <f>Weights!$E$11*Index!D70/O70</f>
        <v>0</v>
      </c>
      <c r="AK70" s="12">
        <f>Weights!$E$12*Index!E70/P70</f>
        <v>0.18520282681742642</v>
      </c>
      <c r="AL70" s="12">
        <f>Weights!$E$13*Index!F70/Q70</f>
        <v>0.29387212877225954</v>
      </c>
      <c r="AM70" s="12">
        <f>Weights!$E$14*Index!G70/R70</f>
        <v>0</v>
      </c>
      <c r="AN70" s="12">
        <f>Weights!$E$15*Index!H70/S70</f>
        <v>0.20623843272832035</v>
      </c>
      <c r="AO70" s="12">
        <f>Weights!$E$16*Index!I70/T70</f>
        <v>0</v>
      </c>
      <c r="AP70" s="12">
        <f>Weights!$E$17*Index!J70/U70</f>
        <v>0.25</v>
      </c>
      <c r="AQ70" s="45">
        <f t="shared" si="18"/>
        <v>99.125206141751448</v>
      </c>
    </row>
    <row r="71" spans="1:43" x14ac:dyDescent="0.25">
      <c r="A71" s="8">
        <v>46091</v>
      </c>
      <c r="B71" s="22">
        <v>115.2925</v>
      </c>
      <c r="C71" s="22">
        <v>138.68</v>
      </c>
      <c r="D71" s="22">
        <v>160.49207100000001</v>
      </c>
      <c r="E71" s="22">
        <v>126.525666</v>
      </c>
      <c r="F71" s="22">
        <v>18122.21</v>
      </c>
      <c r="G71" s="22">
        <v>349.67</v>
      </c>
      <c r="H71" s="22">
        <v>2557.4699999999998</v>
      </c>
      <c r="I71" s="22">
        <v>595.61</v>
      </c>
      <c r="J71" s="22">
        <v>391.5</v>
      </c>
      <c r="K71" s="9" t="str">
        <f t="shared" si="41"/>
        <v/>
      </c>
      <c r="L71" s="10">
        <f t="shared" si="16"/>
        <v>61</v>
      </c>
      <c r="M71" s="27">
        <f t="shared" si="30"/>
        <v>115.295</v>
      </c>
      <c r="N71" s="14">
        <f t="shared" si="31"/>
        <v>140.34</v>
      </c>
      <c r="O71" s="14">
        <f t="shared" si="32"/>
        <v>162.14425800000001</v>
      </c>
      <c r="P71" s="14">
        <f t="shared" si="33"/>
        <v>127.267824</v>
      </c>
      <c r="Q71" s="14">
        <f t="shared" si="34"/>
        <v>19255.7</v>
      </c>
      <c r="R71" s="14">
        <f t="shared" si="35"/>
        <v>358.3</v>
      </c>
      <c r="S71" s="14">
        <f t="shared" si="36"/>
        <v>2603.25</v>
      </c>
      <c r="T71" s="14">
        <f t="shared" si="37"/>
        <v>607.70000000000005</v>
      </c>
      <c r="U71" s="14">
        <f t="shared" si="38"/>
        <v>391.5</v>
      </c>
      <c r="V71" s="36">
        <f t="shared" si="39"/>
        <v>101.68586092429716</v>
      </c>
      <c r="W71" s="13">
        <f>Weights!$B$9*Index!B71/Index!M71</f>
        <v>2.9999349494774275E-2</v>
      </c>
      <c r="X71" s="13">
        <f>Weights!$B$10*Index!C71/Index!N71</f>
        <v>0.2470428958244264</v>
      </c>
      <c r="Y71" s="13">
        <f>Weights!$B$11*Index!D71/Index!O71</f>
        <v>6.928672719326269E-2</v>
      </c>
      <c r="Z71" s="13">
        <f>Weights!$B$12*Index!E71/Index!P71</f>
        <v>1.9883370678200642E-2</v>
      </c>
      <c r="AA71" s="13">
        <f>Weights!$B$13*Index!F71/Index!Q71</f>
        <v>0.12234752826435807</v>
      </c>
      <c r="AB71" s="13">
        <f>Weights!$B$14*Index!G71/Index!R71</f>
        <v>0.19518280770304217</v>
      </c>
      <c r="AC71" s="13">
        <f>Weights!$B$15*Index!H71/Index!S71</f>
        <v>4.9120714491501002E-2</v>
      </c>
      <c r="AD71" s="13">
        <f>Weights!$B$16*Index!I71/Index!T71</f>
        <v>0</v>
      </c>
      <c r="AE71" s="13">
        <f>Weights!$B$17*Index!J71/Index!U71</f>
        <v>0.25</v>
      </c>
      <c r="AF71" s="20">
        <f t="shared" si="17"/>
        <v>99.943310354232423</v>
      </c>
      <c r="AG71" s="35">
        <f t="shared" si="40"/>
        <v>101.77565615791927</v>
      </c>
      <c r="AH71" s="12">
        <f>Weights!$E$9*Index!B71/M71</f>
        <v>1.8242847665741115E-2</v>
      </c>
      <c r="AI71" s="12">
        <f>Weights!$E$10*Index!C71/N71</f>
        <v>2.0431115168182291E-2</v>
      </c>
      <c r="AJ71" s="12">
        <f>Weights!$E$11*Index!D71/O71</f>
        <v>0</v>
      </c>
      <c r="AK71" s="12">
        <f>Weights!$E$12*Index!E71/P71</f>
        <v>0.1849959555667722</v>
      </c>
      <c r="AL71" s="12">
        <f>Weights!$E$13*Index!F71/Q71</f>
        <v>0.29645747233286762</v>
      </c>
      <c r="AM71" s="12">
        <f>Weights!$E$14*Index!G71/R71</f>
        <v>0</v>
      </c>
      <c r="AN71" s="12">
        <f>Weights!$E$15*Index!H71/S71</f>
        <v>0.2063070008643042</v>
      </c>
      <c r="AO71" s="12">
        <f>Weights!$E$16*Index!I71/T71</f>
        <v>0</v>
      </c>
      <c r="AP71" s="12">
        <f>Weights!$E$17*Index!J71/U71</f>
        <v>0.25</v>
      </c>
      <c r="AQ71" s="45">
        <f t="shared" si="18"/>
        <v>99.377250900031655</v>
      </c>
    </row>
    <row r="72" spans="1:43" x14ac:dyDescent="0.25">
      <c r="A72" s="8">
        <v>46092</v>
      </c>
      <c r="B72" s="22">
        <v>115.2923</v>
      </c>
      <c r="C72" s="22">
        <v>138.36000000000001</v>
      </c>
      <c r="D72" s="22">
        <v>159.81224800000001</v>
      </c>
      <c r="E72" s="22">
        <v>126.520869</v>
      </c>
      <c r="F72" s="22">
        <v>17958.66</v>
      </c>
      <c r="G72" s="22">
        <v>349.3</v>
      </c>
      <c r="H72" s="22">
        <v>2567.79</v>
      </c>
      <c r="I72" s="22">
        <v>589.84</v>
      </c>
      <c r="J72" s="22">
        <v>391.5</v>
      </c>
      <c r="K72" s="9" t="str">
        <f t="shared" si="41"/>
        <v/>
      </c>
      <c r="L72" s="10">
        <f t="shared" si="16"/>
        <v>61</v>
      </c>
      <c r="M72" s="27">
        <f t="shared" si="30"/>
        <v>115.295</v>
      </c>
      <c r="N72" s="14">
        <f t="shared" si="31"/>
        <v>140.34</v>
      </c>
      <c r="O72" s="14">
        <f t="shared" si="32"/>
        <v>162.14425800000001</v>
      </c>
      <c r="P72" s="14">
        <f t="shared" si="33"/>
        <v>127.267824</v>
      </c>
      <c r="Q72" s="14">
        <f t="shared" si="34"/>
        <v>19255.7</v>
      </c>
      <c r="R72" s="14">
        <f t="shared" si="35"/>
        <v>358.3</v>
      </c>
      <c r="S72" s="14">
        <f t="shared" si="36"/>
        <v>2603.25</v>
      </c>
      <c r="T72" s="14">
        <f t="shared" si="37"/>
        <v>607.70000000000005</v>
      </c>
      <c r="U72" s="14">
        <f t="shared" si="38"/>
        <v>391.5</v>
      </c>
      <c r="V72" s="36">
        <f t="shared" si="39"/>
        <v>101.68586092429716</v>
      </c>
      <c r="W72" s="13">
        <f>Weights!$B$9*Index!B72/Index!M72</f>
        <v>2.9999297454356214E-2</v>
      </c>
      <c r="X72" s="13">
        <f>Weights!$B$10*Index!C72/Index!N72</f>
        <v>0.24647285164600258</v>
      </c>
      <c r="Y72" s="13">
        <f>Weights!$B$11*Index!D72/Index!O72</f>
        <v>6.8993237861065676E-2</v>
      </c>
      <c r="Z72" s="13">
        <f>Weights!$B$12*Index!E72/Index!P72</f>
        <v>1.9882616834872576E-2</v>
      </c>
      <c r="AA72" s="13">
        <f>Weights!$B$13*Index!F72/Index!Q72</f>
        <v>0.1212433617058845</v>
      </c>
      <c r="AB72" s="13">
        <f>Weights!$B$14*Index!G72/Index!R72</f>
        <v>0.19497627686296398</v>
      </c>
      <c r="AC72" s="13">
        <f>Weights!$B$15*Index!H72/Index!S72</f>
        <v>4.9318928262748488E-2</v>
      </c>
      <c r="AD72" s="13">
        <f>Weights!$B$16*Index!I72/Index!T72</f>
        <v>0</v>
      </c>
      <c r="AE72" s="13">
        <f>Weights!$B$17*Index!J72/Index!U72</f>
        <v>0.25</v>
      </c>
      <c r="AF72" s="20">
        <f t="shared" si="17"/>
        <v>99.742295403378819</v>
      </c>
      <c r="AG72" s="35">
        <f t="shared" si="40"/>
        <v>101.77565615791927</v>
      </c>
      <c r="AH72" s="12">
        <f>Weights!$E$9*Index!B72/M72</f>
        <v>1.8242816019540944E-2</v>
      </c>
      <c r="AI72" s="12">
        <f>Weights!$E$10*Index!C72/N72</f>
        <v>2.03839709739667E-2</v>
      </c>
      <c r="AJ72" s="12">
        <f>Weights!$E$11*Index!D72/O72</f>
        <v>0</v>
      </c>
      <c r="AK72" s="12">
        <f>Weights!$E$12*Index!E72/P72</f>
        <v>0.18498894176769959</v>
      </c>
      <c r="AL72" s="12">
        <f>Weights!$E$13*Index!F72/Q72</f>
        <v>0.29378199182579695</v>
      </c>
      <c r="AM72" s="12">
        <f>Weights!$E$14*Index!G72/R72</f>
        <v>0</v>
      </c>
      <c r="AN72" s="12">
        <f>Weights!$E$15*Index!H72/S72</f>
        <v>0.20713949870354362</v>
      </c>
      <c r="AO72" s="12">
        <f>Weights!$E$16*Index!I72/T72</f>
        <v>0</v>
      </c>
      <c r="AP72" s="12">
        <f>Weights!$E$17*Index!J72/U72</f>
        <v>0.25</v>
      </c>
      <c r="AQ72" s="45">
        <f t="shared" si="18"/>
        <v>99.184164943609574</v>
      </c>
    </row>
    <row r="73" spans="1:43" x14ac:dyDescent="0.25">
      <c r="A73" s="8">
        <v>46093</v>
      </c>
      <c r="B73" s="22">
        <v>115.292</v>
      </c>
      <c r="C73" s="22">
        <v>138.4</v>
      </c>
      <c r="D73" s="22">
        <v>159.35993400000001</v>
      </c>
      <c r="E73" s="22">
        <v>126.58531500000001</v>
      </c>
      <c r="F73" s="22">
        <v>17920.7</v>
      </c>
      <c r="G73" s="22">
        <v>344.53</v>
      </c>
      <c r="H73" s="22">
        <v>2544.21</v>
      </c>
      <c r="I73" s="22">
        <v>591.19000000000005</v>
      </c>
      <c r="J73" s="22">
        <v>391.5</v>
      </c>
      <c r="K73" s="9" t="str">
        <f t="shared" si="41"/>
        <v/>
      </c>
      <c r="L73" s="10">
        <f t="shared" si="16"/>
        <v>61</v>
      </c>
      <c r="M73" s="27">
        <f t="shared" si="30"/>
        <v>115.295</v>
      </c>
      <c r="N73" s="14">
        <f t="shared" si="31"/>
        <v>140.34</v>
      </c>
      <c r="O73" s="14">
        <f t="shared" si="32"/>
        <v>162.14425800000001</v>
      </c>
      <c r="P73" s="14">
        <f t="shared" si="33"/>
        <v>127.267824</v>
      </c>
      <c r="Q73" s="14">
        <f t="shared" si="34"/>
        <v>19255.7</v>
      </c>
      <c r="R73" s="14">
        <f t="shared" si="35"/>
        <v>358.3</v>
      </c>
      <c r="S73" s="14">
        <f t="shared" si="36"/>
        <v>2603.25</v>
      </c>
      <c r="T73" s="14">
        <f t="shared" si="37"/>
        <v>607.70000000000005</v>
      </c>
      <c r="U73" s="14">
        <f t="shared" si="38"/>
        <v>391.5</v>
      </c>
      <c r="V73" s="36">
        <f t="shared" si="39"/>
        <v>101.68586092429716</v>
      </c>
      <c r="W73" s="13">
        <f>Weights!$B$9*Index!B73/Index!M73</f>
        <v>2.9999219393729126E-2</v>
      </c>
      <c r="X73" s="13">
        <f>Weights!$B$10*Index!C73/Index!N73</f>
        <v>0.24654410716830555</v>
      </c>
      <c r="Y73" s="13">
        <f>Weights!$B$11*Index!D73/Index!O73</f>
        <v>6.8797967424785417E-2</v>
      </c>
      <c r="Z73" s="13">
        <f>Weights!$B$12*Index!E73/Index!P73</f>
        <v>1.9892744453617751E-2</v>
      </c>
      <c r="AA73" s="13">
        <f>Weights!$B$13*Index!F73/Index!Q73</f>
        <v>0.12098708434385663</v>
      </c>
      <c r="AB73" s="13">
        <f>Weights!$B$14*Index!G73/Index!R73</f>
        <v>0.1923137036003349</v>
      </c>
      <c r="AC73" s="13">
        <f>Weights!$B$15*Index!H73/Index!S73</f>
        <v>4.886603284356094E-2</v>
      </c>
      <c r="AD73" s="13">
        <f>Weights!$B$16*Index!I73/Index!T73</f>
        <v>0</v>
      </c>
      <c r="AE73" s="13">
        <f>Weights!$B$17*Index!J73/Index!U73</f>
        <v>0.25</v>
      </c>
      <c r="AF73" s="20">
        <f t="shared" si="17"/>
        <v>99.387847838766305</v>
      </c>
      <c r="AG73" s="35">
        <f t="shared" si="40"/>
        <v>101.77565615791927</v>
      </c>
      <c r="AH73" s="12">
        <f>Weights!$E$9*Index!B73/M73</f>
        <v>1.8242768550240686E-2</v>
      </c>
      <c r="AI73" s="12">
        <f>Weights!$E$10*Index!C73/N73</f>
        <v>2.0389863998243649E-2</v>
      </c>
      <c r="AJ73" s="12">
        <f>Weights!$E$11*Index!D73/O73</f>
        <v>0</v>
      </c>
      <c r="AK73" s="12">
        <f>Weights!$E$12*Index!E73/P73</f>
        <v>0.18508316967994357</v>
      </c>
      <c r="AL73" s="12">
        <f>Weights!$E$13*Index!F73/Q73</f>
        <v>0.29316101206396022</v>
      </c>
      <c r="AM73" s="12">
        <f>Weights!$E$14*Index!G73/R73</f>
        <v>0</v>
      </c>
      <c r="AN73" s="12">
        <f>Weights!$E$15*Index!H73/S73</f>
        <v>0.2052373379429559</v>
      </c>
      <c r="AO73" s="12">
        <f>Weights!$E$16*Index!I73/T73</f>
        <v>0</v>
      </c>
      <c r="AP73" s="12">
        <f>Weights!$E$17*Index!J73/U73</f>
        <v>0.25</v>
      </c>
      <c r="AQ73" s="45">
        <f t="shared" si="18"/>
        <v>98.937555704151563</v>
      </c>
    </row>
    <row r="74" spans="1:43" x14ac:dyDescent="0.25">
      <c r="A74" s="8">
        <v>46094</v>
      </c>
      <c r="B74" s="22">
        <v>115.29179999999999</v>
      </c>
      <c r="C74" s="22">
        <v>138.36000000000001</v>
      </c>
      <c r="D74" s="22">
        <v>159.076911</v>
      </c>
      <c r="E74" s="22">
        <v>126.834993</v>
      </c>
      <c r="F74" s="22">
        <v>17893.349999999999</v>
      </c>
      <c r="G74" s="22">
        <v>342.41</v>
      </c>
      <c r="H74" s="22">
        <v>2542.4499999999998</v>
      </c>
      <c r="I74" s="22">
        <v>588.11</v>
      </c>
      <c r="J74" s="22">
        <v>391.5</v>
      </c>
      <c r="K74" s="9" t="str">
        <f t="shared" si="41"/>
        <v/>
      </c>
      <c r="L74" s="10">
        <f t="shared" si="16"/>
        <v>61</v>
      </c>
      <c r="M74" s="27">
        <f t="shared" si="30"/>
        <v>115.295</v>
      </c>
      <c r="N74" s="14">
        <f t="shared" si="31"/>
        <v>140.34</v>
      </c>
      <c r="O74" s="14">
        <f t="shared" si="32"/>
        <v>162.14425800000001</v>
      </c>
      <c r="P74" s="14">
        <f t="shared" si="33"/>
        <v>127.267824</v>
      </c>
      <c r="Q74" s="14">
        <f t="shared" si="34"/>
        <v>19255.7</v>
      </c>
      <c r="R74" s="14">
        <f t="shared" si="35"/>
        <v>358.3</v>
      </c>
      <c r="S74" s="14">
        <f t="shared" si="36"/>
        <v>2603.25</v>
      </c>
      <c r="T74" s="14">
        <f t="shared" si="37"/>
        <v>607.70000000000005</v>
      </c>
      <c r="U74" s="14">
        <f t="shared" si="38"/>
        <v>391.5</v>
      </c>
      <c r="V74" s="36">
        <f t="shared" si="39"/>
        <v>101.68586092429716</v>
      </c>
      <c r="W74" s="13">
        <f>Weights!$B$9*Index!B74/Index!M74</f>
        <v>2.9999167353311072E-2</v>
      </c>
      <c r="X74" s="13">
        <f>Weights!$B$10*Index!C74/Index!N74</f>
        <v>0.24647285164600258</v>
      </c>
      <c r="Y74" s="13">
        <f>Weights!$B$11*Index!D74/Index!O74</f>
        <v>6.8675782339452318E-2</v>
      </c>
      <c r="Z74" s="13">
        <f>Weights!$B$12*Index!E74/Index!P74</f>
        <v>1.9931981079522505E-2</v>
      </c>
      <c r="AA74" s="13">
        <f>Weights!$B$13*Index!F74/Index!Q74</f>
        <v>0.12080243771974011</v>
      </c>
      <c r="AB74" s="13">
        <f>Weights!$B$14*Index!G74/Index!R74</f>
        <v>0.19113033770583313</v>
      </c>
      <c r="AC74" s="13">
        <f>Weights!$B$15*Index!H74/Index!S74</f>
        <v>4.8832228944588496E-2</v>
      </c>
      <c r="AD74" s="13">
        <f>Weights!$B$16*Index!I74/Index!T74</f>
        <v>0</v>
      </c>
      <c r="AE74" s="13">
        <f>Weights!$B$17*Index!J74/Index!U74</f>
        <v>0.25</v>
      </c>
      <c r="AF74" s="20">
        <f t="shared" si="17"/>
        <v>99.229617273070758</v>
      </c>
      <c r="AG74" s="35">
        <f t="shared" si="40"/>
        <v>101.77565615791927</v>
      </c>
      <c r="AH74" s="12">
        <f>Weights!$E$9*Index!B74/M74</f>
        <v>1.8242736904040515E-2</v>
      </c>
      <c r="AI74" s="12">
        <f>Weights!$E$10*Index!C74/N74</f>
        <v>2.03839709739667E-2</v>
      </c>
      <c r="AJ74" s="12">
        <f>Weights!$E$11*Index!D74/O74</f>
        <v>0</v>
      </c>
      <c r="AK74" s="12">
        <f>Weights!$E$12*Index!E74/P74</f>
        <v>0.18544822936826005</v>
      </c>
      <c r="AL74" s="12">
        <f>Weights!$E$13*Index!F74/Q74</f>
        <v>0.2927135990901395</v>
      </c>
      <c r="AM74" s="12">
        <f>Weights!$E$14*Index!G74/R74</f>
        <v>0</v>
      </c>
      <c r="AN74" s="12">
        <f>Weights!$E$15*Index!H74/S74</f>
        <v>0.20509536156727162</v>
      </c>
      <c r="AO74" s="12">
        <f>Weights!$E$16*Index!I74/T74</f>
        <v>0</v>
      </c>
      <c r="AP74" s="12">
        <f>Weights!$E$17*Index!J74/U74</f>
        <v>0.25</v>
      </c>
      <c r="AQ74" s="45">
        <f t="shared" si="18"/>
        <v>98.914121418463083</v>
      </c>
    </row>
    <row r="75" spans="1:43" x14ac:dyDescent="0.25">
      <c r="A75" s="8">
        <v>46095</v>
      </c>
      <c r="B75" s="22">
        <v>115.29179999999999</v>
      </c>
      <c r="C75" s="22">
        <v>138.36000000000001</v>
      </c>
      <c r="D75" s="22">
        <v>159.076911</v>
      </c>
      <c r="E75" s="22">
        <v>126.834993</v>
      </c>
      <c r="F75" s="22">
        <v>17893.349999999999</v>
      </c>
      <c r="G75" s="22">
        <v>342.41</v>
      </c>
      <c r="H75" s="22">
        <v>2542.4499999999998</v>
      </c>
      <c r="I75" s="22">
        <v>588.11</v>
      </c>
      <c r="J75" s="22">
        <v>391.5</v>
      </c>
      <c r="K75" s="9" t="str">
        <f t="shared" si="41"/>
        <v/>
      </c>
      <c r="L75" s="10">
        <f t="shared" si="16"/>
        <v>61</v>
      </c>
      <c r="M75" s="27">
        <f t="shared" si="30"/>
        <v>115.295</v>
      </c>
      <c r="N75" s="14">
        <f t="shared" si="31"/>
        <v>140.34</v>
      </c>
      <c r="O75" s="14">
        <f t="shared" si="32"/>
        <v>162.14425800000001</v>
      </c>
      <c r="P75" s="14">
        <f t="shared" si="33"/>
        <v>127.267824</v>
      </c>
      <c r="Q75" s="14">
        <f t="shared" si="34"/>
        <v>19255.7</v>
      </c>
      <c r="R75" s="14">
        <f t="shared" si="35"/>
        <v>358.3</v>
      </c>
      <c r="S75" s="14">
        <f t="shared" si="36"/>
        <v>2603.25</v>
      </c>
      <c r="T75" s="14">
        <f t="shared" si="37"/>
        <v>607.70000000000005</v>
      </c>
      <c r="U75" s="14">
        <f t="shared" si="38"/>
        <v>391.5</v>
      </c>
      <c r="V75" s="36">
        <f t="shared" si="39"/>
        <v>101.68586092429716</v>
      </c>
      <c r="W75" s="13">
        <f>Weights!$B$9*Index!B75/Index!M75</f>
        <v>2.9999167353311072E-2</v>
      </c>
      <c r="X75" s="13">
        <f>Weights!$B$10*Index!C75/Index!N75</f>
        <v>0.24647285164600258</v>
      </c>
      <c r="Y75" s="13">
        <f>Weights!$B$11*Index!D75/Index!O75</f>
        <v>6.8675782339452318E-2</v>
      </c>
      <c r="Z75" s="13">
        <f>Weights!$B$12*Index!E75/Index!P75</f>
        <v>1.9931981079522505E-2</v>
      </c>
      <c r="AA75" s="13">
        <f>Weights!$B$13*Index!F75/Index!Q75</f>
        <v>0.12080243771974011</v>
      </c>
      <c r="AB75" s="13">
        <f>Weights!$B$14*Index!G75/Index!R75</f>
        <v>0.19113033770583313</v>
      </c>
      <c r="AC75" s="13">
        <f>Weights!$B$15*Index!H75/Index!S75</f>
        <v>4.8832228944588496E-2</v>
      </c>
      <c r="AD75" s="13">
        <f>Weights!$B$16*Index!I75/Index!T75</f>
        <v>0</v>
      </c>
      <c r="AE75" s="13">
        <f>Weights!$B$17*Index!J75/Index!U75</f>
        <v>0.25</v>
      </c>
      <c r="AF75" s="20">
        <f t="shared" si="17"/>
        <v>99.229617273070758</v>
      </c>
      <c r="AG75" s="35">
        <f t="shared" si="40"/>
        <v>101.77565615791927</v>
      </c>
      <c r="AH75" s="12">
        <f>Weights!$E$9*Index!B75/M75</f>
        <v>1.8242736904040515E-2</v>
      </c>
      <c r="AI75" s="12">
        <f>Weights!$E$10*Index!C75/N75</f>
        <v>2.03839709739667E-2</v>
      </c>
      <c r="AJ75" s="12">
        <f>Weights!$E$11*Index!D75/O75</f>
        <v>0</v>
      </c>
      <c r="AK75" s="12">
        <f>Weights!$E$12*Index!E75/P75</f>
        <v>0.18544822936826005</v>
      </c>
      <c r="AL75" s="12">
        <f>Weights!$E$13*Index!F75/Q75</f>
        <v>0.2927135990901395</v>
      </c>
      <c r="AM75" s="12">
        <f>Weights!$E$14*Index!G75/R75</f>
        <v>0</v>
      </c>
      <c r="AN75" s="12">
        <f>Weights!$E$15*Index!H75/S75</f>
        <v>0.20509536156727162</v>
      </c>
      <c r="AO75" s="12">
        <f>Weights!$E$16*Index!I75/T75</f>
        <v>0</v>
      </c>
      <c r="AP75" s="12">
        <f>Weights!$E$17*Index!J75/U75</f>
        <v>0.25</v>
      </c>
      <c r="AQ75" s="45">
        <f t="shared" si="18"/>
        <v>98.914121418463083</v>
      </c>
    </row>
    <row r="76" spans="1:43" x14ac:dyDescent="0.25">
      <c r="A76" s="8">
        <v>46096</v>
      </c>
      <c r="B76" s="22">
        <v>115.29179999999999</v>
      </c>
      <c r="C76" s="22">
        <v>138.36000000000001</v>
      </c>
      <c r="D76" s="22">
        <v>159.076911</v>
      </c>
      <c r="E76" s="22">
        <v>126.834993</v>
      </c>
      <c r="F76" s="22">
        <v>17893.349999999999</v>
      </c>
      <c r="G76" s="22">
        <v>342.41</v>
      </c>
      <c r="H76" s="22">
        <v>2542.4499999999998</v>
      </c>
      <c r="I76" s="22">
        <v>588.11</v>
      </c>
      <c r="J76" s="22">
        <v>391.5</v>
      </c>
      <c r="K76" s="9" t="str">
        <f t="shared" si="41"/>
        <v/>
      </c>
      <c r="L76" s="10">
        <f t="shared" si="16"/>
        <v>61</v>
      </c>
      <c r="M76" s="27">
        <f t="shared" si="30"/>
        <v>115.295</v>
      </c>
      <c r="N76" s="14">
        <f t="shared" si="31"/>
        <v>140.34</v>
      </c>
      <c r="O76" s="14">
        <f t="shared" si="32"/>
        <v>162.14425800000001</v>
      </c>
      <c r="P76" s="14">
        <f t="shared" si="33"/>
        <v>127.267824</v>
      </c>
      <c r="Q76" s="14">
        <f t="shared" si="34"/>
        <v>19255.7</v>
      </c>
      <c r="R76" s="14">
        <f t="shared" si="35"/>
        <v>358.3</v>
      </c>
      <c r="S76" s="14">
        <f t="shared" si="36"/>
        <v>2603.25</v>
      </c>
      <c r="T76" s="14">
        <f t="shared" si="37"/>
        <v>607.70000000000005</v>
      </c>
      <c r="U76" s="14">
        <f t="shared" si="38"/>
        <v>391.5</v>
      </c>
      <c r="V76" s="36">
        <f t="shared" si="39"/>
        <v>101.68586092429716</v>
      </c>
      <c r="W76" s="13">
        <f>Weights!$B$9*Index!B76/Index!M76</f>
        <v>2.9999167353311072E-2</v>
      </c>
      <c r="X76" s="13">
        <f>Weights!$B$10*Index!C76/Index!N76</f>
        <v>0.24647285164600258</v>
      </c>
      <c r="Y76" s="13">
        <f>Weights!$B$11*Index!D76/Index!O76</f>
        <v>6.8675782339452318E-2</v>
      </c>
      <c r="Z76" s="13">
        <f>Weights!$B$12*Index!E76/Index!P76</f>
        <v>1.9931981079522505E-2</v>
      </c>
      <c r="AA76" s="13">
        <f>Weights!$B$13*Index!F76/Index!Q76</f>
        <v>0.12080243771974011</v>
      </c>
      <c r="AB76" s="13">
        <f>Weights!$B$14*Index!G76/Index!R76</f>
        <v>0.19113033770583313</v>
      </c>
      <c r="AC76" s="13">
        <f>Weights!$B$15*Index!H76/Index!S76</f>
        <v>4.8832228944588496E-2</v>
      </c>
      <c r="AD76" s="13">
        <f>Weights!$B$16*Index!I76/Index!T76</f>
        <v>0</v>
      </c>
      <c r="AE76" s="13">
        <f>Weights!$B$17*Index!J76/Index!U76</f>
        <v>0.25</v>
      </c>
      <c r="AF76" s="20">
        <f t="shared" si="17"/>
        <v>99.229617273070758</v>
      </c>
      <c r="AG76" s="35">
        <f t="shared" si="40"/>
        <v>101.77565615791927</v>
      </c>
      <c r="AH76" s="12">
        <f>Weights!$E$9*Index!B76/M76</f>
        <v>1.8242736904040515E-2</v>
      </c>
      <c r="AI76" s="12">
        <f>Weights!$E$10*Index!C76/N76</f>
        <v>2.03839709739667E-2</v>
      </c>
      <c r="AJ76" s="12">
        <f>Weights!$E$11*Index!D76/O76</f>
        <v>0</v>
      </c>
      <c r="AK76" s="12">
        <f>Weights!$E$12*Index!E76/P76</f>
        <v>0.18544822936826005</v>
      </c>
      <c r="AL76" s="12">
        <f>Weights!$E$13*Index!F76/Q76</f>
        <v>0.2927135990901395</v>
      </c>
      <c r="AM76" s="12">
        <f>Weights!$E$14*Index!G76/R76</f>
        <v>0</v>
      </c>
      <c r="AN76" s="12">
        <f>Weights!$E$15*Index!H76/S76</f>
        <v>0.20509536156727162</v>
      </c>
      <c r="AO76" s="12">
        <f>Weights!$E$16*Index!I76/T76</f>
        <v>0</v>
      </c>
      <c r="AP76" s="12">
        <f>Weights!$E$17*Index!J76/U76</f>
        <v>0.25</v>
      </c>
      <c r="AQ76" s="45">
        <f t="shared" si="18"/>
        <v>98.914121418463083</v>
      </c>
    </row>
    <row r="77" spans="1:43" x14ac:dyDescent="0.25">
      <c r="A77" s="8">
        <v>46097</v>
      </c>
      <c r="B77" s="22">
        <v>115.291</v>
      </c>
      <c r="C77" s="22">
        <v>138.56</v>
      </c>
      <c r="D77" s="22">
        <v>159.40170699999999</v>
      </c>
      <c r="E77" s="22">
        <v>127.151084</v>
      </c>
      <c r="F77" s="22">
        <v>17937.91</v>
      </c>
      <c r="G77" s="22">
        <v>345.29</v>
      </c>
      <c r="H77" s="22">
        <v>2562.83</v>
      </c>
      <c r="I77" s="22">
        <v>589.64</v>
      </c>
      <c r="J77" s="22">
        <v>391.5</v>
      </c>
      <c r="K77" s="9" t="str">
        <f t="shared" si="41"/>
        <v/>
      </c>
      <c r="L77" s="10">
        <f t="shared" si="16"/>
        <v>61</v>
      </c>
      <c r="M77" s="27">
        <f t="shared" si="30"/>
        <v>115.295</v>
      </c>
      <c r="N77" s="14">
        <f t="shared" si="31"/>
        <v>140.34</v>
      </c>
      <c r="O77" s="14">
        <f t="shared" si="32"/>
        <v>162.14425800000001</v>
      </c>
      <c r="P77" s="14">
        <f t="shared" si="33"/>
        <v>127.267824</v>
      </c>
      <c r="Q77" s="14">
        <f t="shared" si="34"/>
        <v>19255.7</v>
      </c>
      <c r="R77" s="14">
        <f t="shared" si="35"/>
        <v>358.3</v>
      </c>
      <c r="S77" s="14">
        <f t="shared" si="36"/>
        <v>2603.25</v>
      </c>
      <c r="T77" s="14">
        <f t="shared" si="37"/>
        <v>607.70000000000005</v>
      </c>
      <c r="U77" s="14">
        <f t="shared" si="38"/>
        <v>391.5</v>
      </c>
      <c r="V77" s="36">
        <f t="shared" si="39"/>
        <v>101.68586092429716</v>
      </c>
      <c r="W77" s="13">
        <f>Weights!$B$9*Index!B77/Index!M77</f>
        <v>2.9998959191638835E-2</v>
      </c>
      <c r="X77" s="13">
        <f>Weights!$B$10*Index!C77/Index!N77</f>
        <v>0.24682912925751746</v>
      </c>
      <c r="Y77" s="13">
        <f>Weights!$B$11*Index!D77/Index!O77</f>
        <v>6.8816001427568288E-2</v>
      </c>
      <c r="Z77" s="13">
        <f>Weights!$B$12*Index!E77/Index!P77</f>
        <v>1.9981654436081187E-2</v>
      </c>
      <c r="AA77" s="13">
        <f>Weights!$B$13*Index!F77/Index!Q77</f>
        <v>0.12110327331647253</v>
      </c>
      <c r="AB77" s="13">
        <f>Weights!$B$14*Index!G77/Index!R77</f>
        <v>0.19273792910968462</v>
      </c>
      <c r="AC77" s="13">
        <f>Weights!$B$15*Index!H77/Index!S77</f>
        <v>4.9223662729280707E-2</v>
      </c>
      <c r="AD77" s="13">
        <f>Weights!$B$16*Index!I77/Index!T77</f>
        <v>0</v>
      </c>
      <c r="AE77" s="13">
        <f>Weights!$B$17*Index!J77/Index!U77</f>
        <v>0.25</v>
      </c>
      <c r="AF77" s="20">
        <f t="shared" si="17"/>
        <v>99.518997202303439</v>
      </c>
      <c r="AG77" s="35">
        <f t="shared" si="40"/>
        <v>101.77565615791927</v>
      </c>
      <c r="AH77" s="12">
        <f>Weights!$E$9*Index!B77/M77</f>
        <v>1.8242610319239835E-2</v>
      </c>
      <c r="AI77" s="12">
        <f>Weights!$E$10*Index!C77/N77</f>
        <v>2.0413436095351446E-2</v>
      </c>
      <c r="AJ77" s="12">
        <f>Weights!$E$11*Index!D77/O77</f>
        <v>0</v>
      </c>
      <c r="AK77" s="12">
        <f>Weights!$E$12*Index!E77/P77</f>
        <v>0.18591039296272835</v>
      </c>
      <c r="AL77" s="12">
        <f>Weights!$E$13*Index!F77/Q77</f>
        <v>0.29344254688222182</v>
      </c>
      <c r="AM77" s="12">
        <f>Weights!$E$14*Index!G77/R77</f>
        <v>0</v>
      </c>
      <c r="AN77" s="12">
        <f>Weights!$E$15*Index!H77/S77</f>
        <v>0.20673938346297893</v>
      </c>
      <c r="AO77" s="12">
        <f>Weights!$E$16*Index!I77/T77</f>
        <v>0</v>
      </c>
      <c r="AP77" s="12">
        <f>Weights!$E$17*Index!J77/U77</f>
        <v>0.25</v>
      </c>
      <c r="AQ77" s="45">
        <f t="shared" si="18"/>
        <v>99.205654917371604</v>
      </c>
    </row>
    <row r="78" spans="1:43" x14ac:dyDescent="0.25">
      <c r="A78" s="8">
        <v>46098</v>
      </c>
      <c r="B78" s="22">
        <v>115.2908</v>
      </c>
      <c r="C78" s="22">
        <v>138.86000000000001</v>
      </c>
      <c r="D78" s="22">
        <v>159.66727</v>
      </c>
      <c r="E78" s="22">
        <v>127.049936</v>
      </c>
      <c r="F78" s="22">
        <v>18041.64</v>
      </c>
      <c r="G78" s="22">
        <v>346.42</v>
      </c>
      <c r="H78" s="22">
        <v>2563.23</v>
      </c>
      <c r="I78" s="22">
        <v>587.79</v>
      </c>
      <c r="J78" s="22">
        <v>391.5</v>
      </c>
      <c r="K78" s="9" t="str">
        <f t="shared" si="41"/>
        <v/>
      </c>
      <c r="L78" s="10">
        <f t="shared" si="16"/>
        <v>61</v>
      </c>
      <c r="M78" s="27">
        <f t="shared" si="30"/>
        <v>115.295</v>
      </c>
      <c r="N78" s="14">
        <f t="shared" si="31"/>
        <v>140.34</v>
      </c>
      <c r="O78" s="14">
        <f t="shared" si="32"/>
        <v>162.14425800000001</v>
      </c>
      <c r="P78" s="14">
        <f t="shared" si="33"/>
        <v>127.267824</v>
      </c>
      <c r="Q78" s="14">
        <f t="shared" si="34"/>
        <v>19255.7</v>
      </c>
      <c r="R78" s="14">
        <f t="shared" si="35"/>
        <v>358.3</v>
      </c>
      <c r="S78" s="14">
        <f t="shared" si="36"/>
        <v>2603.25</v>
      </c>
      <c r="T78" s="14">
        <f t="shared" si="37"/>
        <v>607.70000000000005</v>
      </c>
      <c r="U78" s="14">
        <f t="shared" si="38"/>
        <v>391.5</v>
      </c>
      <c r="V78" s="36">
        <f t="shared" si="39"/>
        <v>101.68586092429716</v>
      </c>
      <c r="W78" s="13">
        <f>Weights!$B$9*Index!B78/Index!M78</f>
        <v>2.9998907151220781E-2</v>
      </c>
      <c r="X78" s="13">
        <f>Weights!$B$10*Index!C78/Index!N78</f>
        <v>0.24736354567478983</v>
      </c>
      <c r="Y78" s="13">
        <f>Weights!$B$11*Index!D78/Index!O78</f>
        <v>6.8930648780667902E-2</v>
      </c>
      <c r="Z78" s="13">
        <f>Weights!$B$12*Index!E78/Index!P78</f>
        <v>1.9965759137989193E-2</v>
      </c>
      <c r="AA78" s="13">
        <f>Weights!$B$13*Index!F78/Index!Q78</f>
        <v>0.12180358023857869</v>
      </c>
      <c r="AB78" s="13">
        <f>Weights!$B$14*Index!G78/Index!R78</f>
        <v>0.19336868545911248</v>
      </c>
      <c r="AC78" s="13">
        <f>Weights!$B$15*Index!H78/Index!S78</f>
        <v>4.923134543359263E-2</v>
      </c>
      <c r="AD78" s="13">
        <f>Weights!$B$16*Index!I78/Index!T78</f>
        <v>0</v>
      </c>
      <c r="AE78" s="13">
        <f>Weights!$B$17*Index!J78/Index!U78</f>
        <v>0.25</v>
      </c>
      <c r="AF78" s="20">
        <f t="shared" si="17"/>
        <v>99.71950772885549</v>
      </c>
      <c r="AG78" s="35">
        <f t="shared" si="40"/>
        <v>101.77565615791927</v>
      </c>
      <c r="AH78" s="12">
        <f>Weights!$E$9*Index!B78/M78</f>
        <v>1.8242578673039665E-2</v>
      </c>
      <c r="AI78" s="12">
        <f>Weights!$E$10*Index!C78/N78</f>
        <v>2.0457633777428562E-2</v>
      </c>
      <c r="AJ78" s="12">
        <f>Weights!$E$11*Index!D78/O78</f>
        <v>0</v>
      </c>
      <c r="AK78" s="12">
        <f>Weights!$E$12*Index!E78/P78</f>
        <v>0.18576250225007512</v>
      </c>
      <c r="AL78" s="12">
        <f>Weights!$E$13*Index!F78/Q78</f>
        <v>0.29513944442424833</v>
      </c>
      <c r="AM78" s="12">
        <f>Weights!$E$14*Index!G78/R78</f>
        <v>0</v>
      </c>
      <c r="AN78" s="12">
        <f>Weights!$E$15*Index!H78/S78</f>
        <v>0.206771650821089</v>
      </c>
      <c r="AO78" s="12">
        <f>Weights!$E$16*Index!I78/T78</f>
        <v>0</v>
      </c>
      <c r="AP78" s="12">
        <f>Weights!$E$17*Index!J78/U78</f>
        <v>0.25</v>
      </c>
      <c r="AQ78" s="45">
        <f t="shared" si="18"/>
        <v>99.371085162649578</v>
      </c>
    </row>
    <row r="79" spans="1:43" x14ac:dyDescent="0.25">
      <c r="A79" s="8">
        <v>46099</v>
      </c>
      <c r="B79" s="22">
        <v>115.29049999999999</v>
      </c>
      <c r="C79" s="22">
        <v>138.65</v>
      </c>
      <c r="D79" s="22">
        <v>159.33486299999998</v>
      </c>
      <c r="E79" s="22">
        <v>127.32542000000001</v>
      </c>
      <c r="F79" s="22">
        <v>17804.22</v>
      </c>
      <c r="G79" s="22">
        <v>342.85</v>
      </c>
      <c r="H79" s="22">
        <v>2547.7600000000002</v>
      </c>
      <c r="I79" s="22">
        <v>590.28</v>
      </c>
      <c r="J79" s="22">
        <v>391.5</v>
      </c>
      <c r="K79" s="9" t="str">
        <f t="shared" si="41"/>
        <v/>
      </c>
      <c r="L79" s="10">
        <f t="shared" si="16"/>
        <v>61</v>
      </c>
      <c r="M79" s="27">
        <f t="shared" si="30"/>
        <v>115.295</v>
      </c>
      <c r="N79" s="14">
        <f t="shared" si="31"/>
        <v>140.34</v>
      </c>
      <c r="O79" s="14">
        <f t="shared" si="32"/>
        <v>162.14425800000001</v>
      </c>
      <c r="P79" s="14">
        <f t="shared" si="33"/>
        <v>127.267824</v>
      </c>
      <c r="Q79" s="14">
        <f t="shared" si="34"/>
        <v>19255.7</v>
      </c>
      <c r="R79" s="14">
        <f t="shared" si="35"/>
        <v>358.3</v>
      </c>
      <c r="S79" s="14">
        <f t="shared" si="36"/>
        <v>2603.25</v>
      </c>
      <c r="T79" s="14">
        <f t="shared" si="37"/>
        <v>607.70000000000005</v>
      </c>
      <c r="U79" s="14">
        <f t="shared" si="38"/>
        <v>391.5</v>
      </c>
      <c r="V79" s="36">
        <f t="shared" si="39"/>
        <v>101.68586092429716</v>
      </c>
      <c r="W79" s="13">
        <f>Weights!$B$9*Index!B79/Index!M79</f>
        <v>2.9998829090593693E-2</v>
      </c>
      <c r="X79" s="13">
        <f>Weights!$B$10*Index!C79/Index!N79</f>
        <v>0.24698945418269916</v>
      </c>
      <c r="Y79" s="13">
        <f>Weights!$B$11*Index!D79/Index!O79</f>
        <v>6.8787143914772489E-2</v>
      </c>
      <c r="Z79" s="13">
        <f>Weights!$B$12*Index!E79/Index!P79</f>
        <v>2.0009051148701967E-2</v>
      </c>
      <c r="AA79" s="13">
        <f>Weights!$B$13*Index!F79/Index!Q79</f>
        <v>0.12020069901379851</v>
      </c>
      <c r="AB79" s="13">
        <f>Weights!$B$14*Index!G79/Index!R79</f>
        <v>0.19137594194808821</v>
      </c>
      <c r="AC79" s="13">
        <f>Weights!$B$15*Index!H79/Index!S79</f>
        <v>4.8934216844329213E-2</v>
      </c>
      <c r="AD79" s="13">
        <f>Weights!$B$16*Index!I79/Index!T79</f>
        <v>0</v>
      </c>
      <c r="AE79" s="13">
        <f>Weights!$B$17*Index!J79/Index!U79</f>
        <v>0.25</v>
      </c>
      <c r="AF79" s="20">
        <f t="shared" si="17"/>
        <v>99.275431772075336</v>
      </c>
      <c r="AG79" s="35">
        <f t="shared" si="40"/>
        <v>101.77565615791927</v>
      </c>
      <c r="AH79" s="12">
        <f>Weights!$E$9*Index!B79/M79</f>
        <v>1.824253120373941E-2</v>
      </c>
      <c r="AI79" s="12">
        <f>Weights!$E$10*Index!C79/N79</f>
        <v>2.0426695399974579E-2</v>
      </c>
      <c r="AJ79" s="12">
        <f>Weights!$E$11*Index!D79/O79</f>
        <v>0</v>
      </c>
      <c r="AK79" s="12">
        <f>Weights!$E$12*Index!E79/P79</f>
        <v>0.18616529345785549</v>
      </c>
      <c r="AL79" s="12">
        <f>Weights!$E$13*Index!F79/Q79</f>
        <v>0.2912555399180502</v>
      </c>
      <c r="AM79" s="12">
        <f>Weights!$E$14*Index!G79/R79</f>
        <v>0</v>
      </c>
      <c r="AN79" s="12">
        <f>Weights!$E$15*Index!H79/S79</f>
        <v>0.20552371074618264</v>
      </c>
      <c r="AO79" s="12">
        <f>Weights!$E$16*Index!I79/T79</f>
        <v>0</v>
      </c>
      <c r="AP79" s="12">
        <f>Weights!$E$17*Index!J79/U79</f>
        <v>0.25</v>
      </c>
      <c r="AQ79" s="45">
        <f t="shared" si="18"/>
        <v>98.886629047688672</v>
      </c>
    </row>
    <row r="80" spans="1:43" x14ac:dyDescent="0.25">
      <c r="A80" s="8">
        <v>46100</v>
      </c>
      <c r="B80" s="22">
        <v>115.2903</v>
      </c>
      <c r="C80" s="22">
        <v>138.71</v>
      </c>
      <c r="D80" s="22">
        <v>159.18797499999999</v>
      </c>
      <c r="E80" s="22">
        <v>127.76242999999999</v>
      </c>
      <c r="F80" s="22">
        <v>17379.490000000002</v>
      </c>
      <c r="G80" s="22">
        <v>339.99</v>
      </c>
      <c r="H80" s="22">
        <v>2538.3200000000002</v>
      </c>
      <c r="I80" s="22">
        <v>583.14</v>
      </c>
      <c r="J80" s="22">
        <v>391.5</v>
      </c>
      <c r="K80" s="9" t="str">
        <f t="shared" si="41"/>
        <v/>
      </c>
      <c r="L80" s="10">
        <f t="shared" si="16"/>
        <v>61</v>
      </c>
      <c r="M80" s="27">
        <f t="shared" si="30"/>
        <v>115.295</v>
      </c>
      <c r="N80" s="14">
        <f t="shared" si="31"/>
        <v>140.34</v>
      </c>
      <c r="O80" s="14">
        <f t="shared" si="32"/>
        <v>162.14425800000001</v>
      </c>
      <c r="P80" s="14">
        <f t="shared" si="33"/>
        <v>127.267824</v>
      </c>
      <c r="Q80" s="14">
        <f t="shared" si="34"/>
        <v>19255.7</v>
      </c>
      <c r="R80" s="14">
        <f t="shared" si="35"/>
        <v>358.3</v>
      </c>
      <c r="S80" s="14">
        <f t="shared" si="36"/>
        <v>2603.25</v>
      </c>
      <c r="T80" s="14">
        <f t="shared" si="37"/>
        <v>607.70000000000005</v>
      </c>
      <c r="U80" s="14">
        <f t="shared" si="38"/>
        <v>391.5</v>
      </c>
      <c r="V80" s="36">
        <f t="shared" si="39"/>
        <v>101.68586092429716</v>
      </c>
      <c r="W80" s="13">
        <f>Weights!$B$9*Index!B80/Index!M80</f>
        <v>2.9998777050175635E-2</v>
      </c>
      <c r="X80" s="13">
        <f>Weights!$B$10*Index!C80/Index!N80</f>
        <v>0.24709633746615364</v>
      </c>
      <c r="Y80" s="13">
        <f>Weights!$B$11*Index!D80/Index!O80</f>
        <v>6.8723730260000948E-2</v>
      </c>
      <c r="Z80" s="13">
        <f>Weights!$B$12*Index!E80/Index!P80</f>
        <v>2.0077726794480277E-2</v>
      </c>
      <c r="AA80" s="13">
        <f>Weights!$B$13*Index!F80/Index!Q80</f>
        <v>0.11733324158560841</v>
      </c>
      <c r="AB80" s="13">
        <f>Weights!$B$14*Index!G80/Index!R80</f>
        <v>0.1897795143734301</v>
      </c>
      <c r="AC80" s="13">
        <f>Weights!$B$15*Index!H80/Index!S80</f>
        <v>4.8752905022567947E-2</v>
      </c>
      <c r="AD80" s="13">
        <f>Weights!$B$16*Index!I80/Index!T80</f>
        <v>0</v>
      </c>
      <c r="AE80" s="13">
        <f>Weights!$B$17*Index!J80/Index!U80</f>
        <v>0.25</v>
      </c>
      <c r="AF80" s="20">
        <f t="shared" si="17"/>
        <v>98.814479230809582</v>
      </c>
      <c r="AG80" s="35">
        <f t="shared" si="40"/>
        <v>101.77565615791927</v>
      </c>
      <c r="AH80" s="12">
        <f>Weights!$E$9*Index!B80/M80</f>
        <v>1.8242499557539239E-2</v>
      </c>
      <c r="AI80" s="12">
        <f>Weights!$E$10*Index!C80/N80</f>
        <v>2.0435534936390005E-2</v>
      </c>
      <c r="AJ80" s="12">
        <f>Weights!$E$11*Index!D80/O80</f>
        <v>0</v>
      </c>
      <c r="AK80" s="12">
        <f>Weights!$E$12*Index!E80/P80</f>
        <v>0.18680425537837392</v>
      </c>
      <c r="AL80" s="12">
        <f>Weights!$E$13*Index!F80/Q80</f>
        <v>0.28430746999589729</v>
      </c>
      <c r="AM80" s="12">
        <f>Weights!$E$14*Index!G80/R80</f>
        <v>0</v>
      </c>
      <c r="AN80" s="12">
        <f>Weights!$E$15*Index!H80/S80</f>
        <v>0.20476220109478535</v>
      </c>
      <c r="AO80" s="12">
        <f>Weights!$E$16*Index!I80/T80</f>
        <v>0</v>
      </c>
      <c r="AP80" s="12">
        <f>Weights!$E$17*Index!J80/U80</f>
        <v>0.25</v>
      </c>
      <c r="AQ80" s="45">
        <f t="shared" si="18"/>
        <v>98.167908725415614</v>
      </c>
    </row>
    <row r="81" spans="1:43" x14ac:dyDescent="0.25">
      <c r="A81" s="8">
        <v>46101</v>
      </c>
      <c r="B81" s="22">
        <v>115.29</v>
      </c>
      <c r="C81" s="22">
        <v>138.36000000000001</v>
      </c>
      <c r="D81" s="22">
        <v>158.29656800000001</v>
      </c>
      <c r="E81" s="22">
        <v>126.50894600000001</v>
      </c>
      <c r="F81" s="22">
        <v>17202.240000000002</v>
      </c>
      <c r="G81" s="22">
        <v>335.01</v>
      </c>
      <c r="H81" s="22">
        <v>2489.9299999999998</v>
      </c>
      <c r="I81" s="22">
        <v>581.21</v>
      </c>
      <c r="J81" s="22">
        <v>391.5</v>
      </c>
      <c r="K81" s="9" t="str">
        <f t="shared" si="41"/>
        <v/>
      </c>
      <c r="L81" s="10">
        <f t="shared" si="16"/>
        <v>61</v>
      </c>
      <c r="M81" s="27">
        <f t="shared" si="30"/>
        <v>115.295</v>
      </c>
      <c r="N81" s="14">
        <f t="shared" si="31"/>
        <v>140.34</v>
      </c>
      <c r="O81" s="14">
        <f t="shared" si="32"/>
        <v>162.14425800000001</v>
      </c>
      <c r="P81" s="14">
        <f t="shared" si="33"/>
        <v>127.267824</v>
      </c>
      <c r="Q81" s="14">
        <f t="shared" si="34"/>
        <v>19255.7</v>
      </c>
      <c r="R81" s="14">
        <f t="shared" si="35"/>
        <v>358.3</v>
      </c>
      <c r="S81" s="14">
        <f t="shared" si="36"/>
        <v>2603.25</v>
      </c>
      <c r="T81" s="14">
        <f t="shared" si="37"/>
        <v>607.70000000000005</v>
      </c>
      <c r="U81" s="14">
        <f t="shared" si="38"/>
        <v>391.5</v>
      </c>
      <c r="V81" s="36">
        <f t="shared" si="39"/>
        <v>101.68586092429716</v>
      </c>
      <c r="W81" s="13">
        <f>Weights!$B$9*Index!B81/Index!M81</f>
        <v>2.9998698989548548E-2</v>
      </c>
      <c r="X81" s="13">
        <f>Weights!$B$10*Index!C81/Index!N81</f>
        <v>0.24647285164600258</v>
      </c>
      <c r="Y81" s="13">
        <f>Weights!$B$11*Index!D81/Index!O81</f>
        <v>6.8338897082621336E-2</v>
      </c>
      <c r="Z81" s="13">
        <f>Weights!$B$12*Index!E81/Index!P81</f>
        <v>1.9880743148401755E-2</v>
      </c>
      <c r="AA81" s="13">
        <f>Weights!$B$13*Index!F81/Index!Q81</f>
        <v>0.11613658293388451</v>
      </c>
      <c r="AB81" s="13">
        <f>Weights!$B$14*Index!G81/Index!R81</f>
        <v>0.18699972090427014</v>
      </c>
      <c r="AC81" s="13">
        <f>Weights!$B$15*Index!H81/Index!S81</f>
        <v>4.782348986843369E-2</v>
      </c>
      <c r="AD81" s="13">
        <f>Weights!$B$16*Index!I81/Index!T81</f>
        <v>0</v>
      </c>
      <c r="AE81" s="13">
        <f>Weights!$B$17*Index!J81/Index!U81</f>
        <v>0.25</v>
      </c>
      <c r="AF81" s="20">
        <f t="shared" si="17"/>
        <v>98.193051718717228</v>
      </c>
      <c r="AG81" s="35">
        <f t="shared" si="40"/>
        <v>101.77565615791927</v>
      </c>
      <c r="AH81" s="12">
        <f>Weights!$E$9*Index!B81/M81</f>
        <v>1.8242452088238985E-2</v>
      </c>
      <c r="AI81" s="12">
        <f>Weights!$E$10*Index!C81/N81</f>
        <v>2.03839709739667E-2</v>
      </c>
      <c r="AJ81" s="12">
        <f>Weights!$E$11*Index!D81/O81</f>
        <v>0</v>
      </c>
      <c r="AK81" s="12">
        <f>Weights!$E$12*Index!E81/P81</f>
        <v>0.1849715088874947</v>
      </c>
      <c r="AL81" s="12">
        <f>Weights!$E$13*Index!F81/Q81</f>
        <v>0.28140787403210471</v>
      </c>
      <c r="AM81" s="12">
        <f>Weights!$E$14*Index!G81/R81</f>
        <v>0</v>
      </c>
      <c r="AN81" s="12">
        <f>Weights!$E$15*Index!H81/S81</f>
        <v>0.20085865744742146</v>
      </c>
      <c r="AO81" s="12">
        <f>Weights!$E$16*Index!I81/T81</f>
        <v>0</v>
      </c>
      <c r="AP81" s="12">
        <f>Weights!$E$17*Index!J81/U81</f>
        <v>0.25</v>
      </c>
      <c r="AQ81" s="45">
        <f t="shared" si="18"/>
        <v>97.283732963546967</v>
      </c>
    </row>
    <row r="82" spans="1:43" x14ac:dyDescent="0.25">
      <c r="A82" s="8">
        <v>46102</v>
      </c>
      <c r="B82" s="22">
        <v>115.29</v>
      </c>
      <c r="C82" s="22">
        <v>138.36000000000001</v>
      </c>
      <c r="D82" s="22">
        <v>158.29656800000001</v>
      </c>
      <c r="E82" s="22">
        <v>126.50894600000001</v>
      </c>
      <c r="F82" s="22">
        <v>17202.240000000002</v>
      </c>
      <c r="G82" s="22">
        <v>335.01</v>
      </c>
      <c r="H82" s="22">
        <v>2489.9299999999998</v>
      </c>
      <c r="I82" s="22">
        <v>581.21</v>
      </c>
      <c r="J82" s="22">
        <v>391.5</v>
      </c>
      <c r="K82" s="9" t="str">
        <f t="shared" si="41"/>
        <v/>
      </c>
      <c r="L82" s="10">
        <f t="shared" si="16"/>
        <v>61</v>
      </c>
      <c r="M82" s="27">
        <f t="shared" si="30"/>
        <v>115.295</v>
      </c>
      <c r="N82" s="14">
        <f t="shared" si="31"/>
        <v>140.34</v>
      </c>
      <c r="O82" s="14">
        <f t="shared" si="32"/>
        <v>162.14425800000001</v>
      </c>
      <c r="P82" s="14">
        <f t="shared" si="33"/>
        <v>127.267824</v>
      </c>
      <c r="Q82" s="14">
        <f t="shared" si="34"/>
        <v>19255.7</v>
      </c>
      <c r="R82" s="14">
        <f t="shared" si="35"/>
        <v>358.3</v>
      </c>
      <c r="S82" s="14">
        <f t="shared" si="36"/>
        <v>2603.25</v>
      </c>
      <c r="T82" s="14">
        <f t="shared" si="37"/>
        <v>607.70000000000005</v>
      </c>
      <c r="U82" s="14">
        <f t="shared" si="38"/>
        <v>391.5</v>
      </c>
      <c r="V82" s="36">
        <f t="shared" si="39"/>
        <v>101.68586092429716</v>
      </c>
      <c r="W82" s="13">
        <f>Weights!$B$9*Index!B82/Index!M82</f>
        <v>2.9998698989548548E-2</v>
      </c>
      <c r="X82" s="13">
        <f>Weights!$B$10*Index!C82/Index!N82</f>
        <v>0.24647285164600258</v>
      </c>
      <c r="Y82" s="13">
        <f>Weights!$B$11*Index!D82/Index!O82</f>
        <v>6.8338897082621336E-2</v>
      </c>
      <c r="Z82" s="13">
        <f>Weights!$B$12*Index!E82/Index!P82</f>
        <v>1.9880743148401755E-2</v>
      </c>
      <c r="AA82" s="13">
        <f>Weights!$B$13*Index!F82/Index!Q82</f>
        <v>0.11613658293388451</v>
      </c>
      <c r="AB82" s="13">
        <f>Weights!$B$14*Index!G82/Index!R82</f>
        <v>0.18699972090427014</v>
      </c>
      <c r="AC82" s="13">
        <f>Weights!$B$15*Index!H82/Index!S82</f>
        <v>4.782348986843369E-2</v>
      </c>
      <c r="AD82" s="13">
        <f>Weights!$B$16*Index!I82/Index!T82</f>
        <v>0</v>
      </c>
      <c r="AE82" s="13">
        <f>Weights!$B$17*Index!J82/Index!U82</f>
        <v>0.25</v>
      </c>
      <c r="AF82" s="20">
        <f t="shared" si="17"/>
        <v>98.193051718717228</v>
      </c>
      <c r="AG82" s="35">
        <f t="shared" si="40"/>
        <v>101.77565615791927</v>
      </c>
      <c r="AH82" s="12">
        <f>Weights!$E$9*Index!B82/M82</f>
        <v>1.8242452088238985E-2</v>
      </c>
      <c r="AI82" s="12">
        <f>Weights!$E$10*Index!C82/N82</f>
        <v>2.03839709739667E-2</v>
      </c>
      <c r="AJ82" s="12">
        <f>Weights!$E$11*Index!D82/O82</f>
        <v>0</v>
      </c>
      <c r="AK82" s="12">
        <f>Weights!$E$12*Index!E82/P82</f>
        <v>0.1849715088874947</v>
      </c>
      <c r="AL82" s="12">
        <f>Weights!$E$13*Index!F82/Q82</f>
        <v>0.28140787403210471</v>
      </c>
      <c r="AM82" s="12">
        <f>Weights!$E$14*Index!G82/R82</f>
        <v>0</v>
      </c>
      <c r="AN82" s="12">
        <f>Weights!$E$15*Index!H82/S82</f>
        <v>0.20085865744742146</v>
      </c>
      <c r="AO82" s="12">
        <f>Weights!$E$16*Index!I82/T82</f>
        <v>0</v>
      </c>
      <c r="AP82" s="12">
        <f>Weights!$E$17*Index!J82/U82</f>
        <v>0.25</v>
      </c>
      <c r="AQ82" s="45">
        <f t="shared" si="18"/>
        <v>97.283732963546967</v>
      </c>
    </row>
    <row r="83" spans="1:43" x14ac:dyDescent="0.25">
      <c r="A83" s="8">
        <v>46103</v>
      </c>
      <c r="B83" s="22">
        <v>115.29</v>
      </c>
      <c r="C83" s="22">
        <v>138.36000000000001</v>
      </c>
      <c r="D83" s="22">
        <v>158.29656800000001</v>
      </c>
      <c r="E83" s="22">
        <v>126.50894600000001</v>
      </c>
      <c r="F83" s="22">
        <v>17202.240000000002</v>
      </c>
      <c r="G83" s="22">
        <v>335.01</v>
      </c>
      <c r="H83" s="22">
        <v>2489.9299999999998</v>
      </c>
      <c r="I83" s="22">
        <v>581.21</v>
      </c>
      <c r="J83" s="22">
        <v>391.5</v>
      </c>
      <c r="K83" s="9" t="str">
        <f t="shared" si="41"/>
        <v/>
      </c>
      <c r="L83" s="10">
        <f t="shared" si="16"/>
        <v>61</v>
      </c>
      <c r="M83" s="27">
        <f t="shared" si="30"/>
        <v>115.295</v>
      </c>
      <c r="N83" s="14">
        <f t="shared" si="31"/>
        <v>140.34</v>
      </c>
      <c r="O83" s="14">
        <f t="shared" si="32"/>
        <v>162.14425800000001</v>
      </c>
      <c r="P83" s="14">
        <f t="shared" si="33"/>
        <v>127.267824</v>
      </c>
      <c r="Q83" s="14">
        <f t="shared" si="34"/>
        <v>19255.7</v>
      </c>
      <c r="R83" s="14">
        <f t="shared" si="35"/>
        <v>358.3</v>
      </c>
      <c r="S83" s="14">
        <f t="shared" si="36"/>
        <v>2603.25</v>
      </c>
      <c r="T83" s="14">
        <f t="shared" si="37"/>
        <v>607.70000000000005</v>
      </c>
      <c r="U83" s="14">
        <f t="shared" si="38"/>
        <v>391.5</v>
      </c>
      <c r="V83" s="36">
        <f t="shared" si="39"/>
        <v>101.68586092429716</v>
      </c>
      <c r="W83" s="13">
        <f>Weights!$B$9*Index!B83/Index!M83</f>
        <v>2.9998698989548548E-2</v>
      </c>
      <c r="X83" s="13">
        <f>Weights!$B$10*Index!C83/Index!N83</f>
        <v>0.24647285164600258</v>
      </c>
      <c r="Y83" s="13">
        <f>Weights!$B$11*Index!D83/Index!O83</f>
        <v>6.8338897082621336E-2</v>
      </c>
      <c r="Z83" s="13">
        <f>Weights!$B$12*Index!E83/Index!P83</f>
        <v>1.9880743148401755E-2</v>
      </c>
      <c r="AA83" s="13">
        <f>Weights!$B$13*Index!F83/Index!Q83</f>
        <v>0.11613658293388451</v>
      </c>
      <c r="AB83" s="13">
        <f>Weights!$B$14*Index!G83/Index!R83</f>
        <v>0.18699972090427014</v>
      </c>
      <c r="AC83" s="13">
        <f>Weights!$B$15*Index!H83/Index!S83</f>
        <v>4.782348986843369E-2</v>
      </c>
      <c r="AD83" s="13">
        <f>Weights!$B$16*Index!I83/Index!T83</f>
        <v>0</v>
      </c>
      <c r="AE83" s="13">
        <f>Weights!$B$17*Index!J83/Index!U83</f>
        <v>0.25</v>
      </c>
      <c r="AF83" s="20">
        <f t="shared" si="17"/>
        <v>98.193051718717228</v>
      </c>
      <c r="AG83" s="35">
        <f t="shared" si="40"/>
        <v>101.77565615791927</v>
      </c>
      <c r="AH83" s="12">
        <f>Weights!$E$9*Index!B83/M83</f>
        <v>1.8242452088238985E-2</v>
      </c>
      <c r="AI83" s="12">
        <f>Weights!$E$10*Index!C83/N83</f>
        <v>2.03839709739667E-2</v>
      </c>
      <c r="AJ83" s="12">
        <f>Weights!$E$11*Index!D83/O83</f>
        <v>0</v>
      </c>
      <c r="AK83" s="12">
        <f>Weights!$E$12*Index!E83/P83</f>
        <v>0.1849715088874947</v>
      </c>
      <c r="AL83" s="12">
        <f>Weights!$E$13*Index!F83/Q83</f>
        <v>0.28140787403210471</v>
      </c>
      <c r="AM83" s="12">
        <f>Weights!$E$14*Index!G83/R83</f>
        <v>0</v>
      </c>
      <c r="AN83" s="12">
        <f>Weights!$E$15*Index!H83/S83</f>
        <v>0.20085865744742146</v>
      </c>
      <c r="AO83" s="12">
        <f>Weights!$E$16*Index!I83/T83</f>
        <v>0</v>
      </c>
      <c r="AP83" s="12">
        <f>Weights!$E$17*Index!J83/U83</f>
        <v>0.25</v>
      </c>
      <c r="AQ83" s="45">
        <f t="shared" si="18"/>
        <v>97.283732963546967</v>
      </c>
    </row>
    <row r="84" spans="1:43" x14ac:dyDescent="0.25">
      <c r="A84" s="8">
        <v>46104</v>
      </c>
      <c r="B84" s="22">
        <v>115.2893</v>
      </c>
      <c r="C84" s="22">
        <v>138.54</v>
      </c>
      <c r="D84" s="22">
        <v>158.53629000000001</v>
      </c>
      <c r="E84" s="22">
        <v>126.652113</v>
      </c>
      <c r="F84" s="22">
        <v>17311.060000000001</v>
      </c>
      <c r="G84" s="22">
        <v>337.51</v>
      </c>
      <c r="H84" s="22">
        <v>2506.71</v>
      </c>
      <c r="I84" s="22">
        <v>575.58000000000004</v>
      </c>
      <c r="J84" s="22">
        <v>391.5</v>
      </c>
      <c r="K84" s="9" t="str">
        <f t="shared" si="41"/>
        <v/>
      </c>
      <c r="L84" s="10">
        <f t="shared" si="16"/>
        <v>61</v>
      </c>
      <c r="M84" s="27">
        <f t="shared" si="30"/>
        <v>115.295</v>
      </c>
      <c r="N84" s="14">
        <f t="shared" si="31"/>
        <v>140.34</v>
      </c>
      <c r="O84" s="14">
        <f t="shared" si="32"/>
        <v>162.14425800000001</v>
      </c>
      <c r="P84" s="14">
        <f t="shared" si="33"/>
        <v>127.267824</v>
      </c>
      <c r="Q84" s="14">
        <f t="shared" si="34"/>
        <v>19255.7</v>
      </c>
      <c r="R84" s="14">
        <f t="shared" si="35"/>
        <v>358.3</v>
      </c>
      <c r="S84" s="14">
        <f t="shared" si="36"/>
        <v>2603.25</v>
      </c>
      <c r="T84" s="14">
        <f t="shared" si="37"/>
        <v>607.70000000000005</v>
      </c>
      <c r="U84" s="14">
        <f t="shared" si="38"/>
        <v>391.5</v>
      </c>
      <c r="V84" s="36">
        <f t="shared" si="39"/>
        <v>101.68586092429716</v>
      </c>
      <c r="W84" s="13">
        <f>Weights!$B$9*Index!B84/Index!M84</f>
        <v>2.9998516848085341E-2</v>
      </c>
      <c r="X84" s="13">
        <f>Weights!$B$10*Index!C84/Index!N84</f>
        <v>0.24679350149636595</v>
      </c>
      <c r="Y84" s="13">
        <f>Weights!$B$11*Index!D84/Index!O84</f>
        <v>6.8442388505672538E-2</v>
      </c>
      <c r="Z84" s="13">
        <f>Weights!$B$12*Index!E84/Index!P84</f>
        <v>1.9903241686602579E-2</v>
      </c>
      <c r="AA84" s="13">
        <f>Weights!$B$13*Index!F84/Index!Q84</f>
        <v>0.11687125370669464</v>
      </c>
      <c r="AB84" s="13">
        <f>Weights!$B$14*Index!G84/Index!R84</f>
        <v>0.1883951995534468</v>
      </c>
      <c r="AC84" s="13">
        <f>Weights!$B$15*Index!H84/Index!S84</f>
        <v>4.8145779314318647E-2</v>
      </c>
      <c r="AD84" s="13">
        <f>Weights!$B$16*Index!I84/Index!T84</f>
        <v>0</v>
      </c>
      <c r="AE84" s="13">
        <f>Weights!$B$17*Index!J84/Index!U84</f>
        <v>0.25</v>
      </c>
      <c r="AF84" s="20">
        <f t="shared" si="17"/>
        <v>98.48782850891665</v>
      </c>
      <c r="AG84" s="35">
        <f t="shared" si="40"/>
        <v>101.77565615791927</v>
      </c>
      <c r="AH84" s="12">
        <f>Weights!$E$9*Index!B84/M84</f>
        <v>1.8242341326538389E-2</v>
      </c>
      <c r="AI84" s="12">
        <f>Weights!$E$10*Index!C84/N84</f>
        <v>2.0410489583212968E-2</v>
      </c>
      <c r="AJ84" s="12">
        <f>Weights!$E$11*Index!D84/O84</f>
        <v>0</v>
      </c>
      <c r="AK84" s="12">
        <f>Weights!$E$12*Index!E84/P84</f>
        <v>0.18518083650305237</v>
      </c>
      <c r="AL84" s="12">
        <f>Weights!$E$13*Index!F84/Q84</f>
        <v>0.28318803782776003</v>
      </c>
      <c r="AM84" s="12">
        <f>Weights!$E$14*Index!G84/R84</f>
        <v>0</v>
      </c>
      <c r="AN84" s="12">
        <f>Weights!$E$15*Index!H84/S84</f>
        <v>0.20221227312013829</v>
      </c>
      <c r="AO84" s="12">
        <f>Weights!$E$16*Index!I84/T84</f>
        <v>0</v>
      </c>
      <c r="AP84" s="12">
        <f>Weights!$E$17*Index!J84/U84</f>
        <v>0.25</v>
      </c>
      <c r="AQ84" s="45">
        <f t="shared" si="18"/>
        <v>97.626667556631787</v>
      </c>
    </row>
    <row r="85" spans="1:43" x14ac:dyDescent="0.25">
      <c r="A85" s="8">
        <v>46105</v>
      </c>
      <c r="B85" s="22">
        <v>115.2891</v>
      </c>
      <c r="C85" s="22">
        <v>138.34</v>
      </c>
      <c r="D85" s="22">
        <v>158.28845100000001</v>
      </c>
      <c r="E85" s="22">
        <v>127.064864</v>
      </c>
      <c r="F85" s="22">
        <v>17471.080000000002</v>
      </c>
      <c r="G85" s="22">
        <v>337.06</v>
      </c>
      <c r="H85" s="22">
        <v>2515.4699999999998</v>
      </c>
      <c r="I85" s="22">
        <v>568.05999999999995</v>
      </c>
      <c r="J85" s="22">
        <v>391.5</v>
      </c>
      <c r="K85" s="9" t="str">
        <f t="shared" si="41"/>
        <v/>
      </c>
      <c r="L85" s="10">
        <f t="shared" si="16"/>
        <v>61</v>
      </c>
      <c r="M85" s="27">
        <f t="shared" si="30"/>
        <v>115.295</v>
      </c>
      <c r="N85" s="14">
        <f t="shared" si="31"/>
        <v>140.34</v>
      </c>
      <c r="O85" s="14">
        <f t="shared" si="32"/>
        <v>162.14425800000001</v>
      </c>
      <c r="P85" s="14">
        <f t="shared" si="33"/>
        <v>127.267824</v>
      </c>
      <c r="Q85" s="14">
        <f t="shared" si="34"/>
        <v>19255.7</v>
      </c>
      <c r="R85" s="14">
        <f t="shared" si="35"/>
        <v>358.3</v>
      </c>
      <c r="S85" s="14">
        <f t="shared" si="36"/>
        <v>2603.25</v>
      </c>
      <c r="T85" s="14">
        <f t="shared" si="37"/>
        <v>607.70000000000005</v>
      </c>
      <c r="U85" s="14">
        <f t="shared" si="38"/>
        <v>391.5</v>
      </c>
      <c r="V85" s="36">
        <f t="shared" si="39"/>
        <v>101.68586092429716</v>
      </c>
      <c r="W85" s="13">
        <f>Weights!$B$9*Index!B85/Index!M85</f>
        <v>2.999846480766729E-2</v>
      </c>
      <c r="X85" s="13">
        <f>Weights!$B$10*Index!C85/Index!N85</f>
        <v>0.24643722388485106</v>
      </c>
      <c r="Y85" s="13">
        <f>Weights!$B$11*Index!D85/Index!O85</f>
        <v>6.8335392857390001E-2</v>
      </c>
      <c r="Z85" s="13">
        <f>Weights!$B$12*Index!E85/Index!P85</f>
        <v>1.9968105056938822E-2</v>
      </c>
      <c r="AA85" s="13">
        <f>Weights!$B$13*Index!F85/Index!Q85</f>
        <v>0.117951588360849</v>
      </c>
      <c r="AB85" s="13">
        <f>Weights!$B$14*Index!G85/Index!R85</f>
        <v>0.18814401339659503</v>
      </c>
      <c r="AC85" s="13">
        <f>Weights!$B$15*Index!H85/Index!S85</f>
        <v>4.8314030538749636E-2</v>
      </c>
      <c r="AD85" s="13">
        <f>Weights!$B$16*Index!I85/Index!T85</f>
        <v>0</v>
      </c>
      <c r="AE85" s="13">
        <f>Weights!$B$17*Index!J85/Index!U85</f>
        <v>0.25</v>
      </c>
      <c r="AF85" s="20">
        <f t="shared" si="17"/>
        <v>98.548732013921452</v>
      </c>
      <c r="AG85" s="35">
        <f t="shared" si="40"/>
        <v>101.77565615791927</v>
      </c>
      <c r="AH85" s="12">
        <f>Weights!$E$9*Index!B85/M85</f>
        <v>1.8242309680338218E-2</v>
      </c>
      <c r="AI85" s="12">
        <f>Weights!$E$10*Index!C85/N85</f>
        <v>2.0381024461828223E-2</v>
      </c>
      <c r="AJ85" s="12">
        <f>Weights!$E$11*Index!D85/O85</f>
        <v>0</v>
      </c>
      <c r="AK85" s="12">
        <f>Weights!$E$12*Index!E85/P85</f>
        <v>0.18578432880678891</v>
      </c>
      <c r="AL85" s="12">
        <f>Weights!$E$13*Index!F85/Q85</f>
        <v>0.28580577179744177</v>
      </c>
      <c r="AM85" s="12">
        <f>Weights!$E$14*Index!G85/R85</f>
        <v>0</v>
      </c>
      <c r="AN85" s="12">
        <f>Weights!$E$15*Index!H85/S85</f>
        <v>0.20291892826274843</v>
      </c>
      <c r="AO85" s="12">
        <f>Weights!$E$16*Index!I85/T85</f>
        <v>0</v>
      </c>
      <c r="AP85" s="12">
        <f>Weights!$E$17*Index!J85/U85</f>
        <v>0.25</v>
      </c>
      <c r="AQ85" s="45">
        <f t="shared" si="18"/>
        <v>98.023428212183077</v>
      </c>
    </row>
    <row r="86" spans="1:43" x14ac:dyDescent="0.25">
      <c r="A86" s="8">
        <v>46106</v>
      </c>
      <c r="B86" s="22">
        <v>115.28879999999999</v>
      </c>
      <c r="C86" s="22">
        <v>138.86000000000001</v>
      </c>
      <c r="D86" s="22">
        <v>158.86619999999999</v>
      </c>
      <c r="E86" s="22">
        <v>127.495197</v>
      </c>
      <c r="F86" s="22">
        <v>17742.64</v>
      </c>
      <c r="G86" s="22">
        <v>340.02</v>
      </c>
      <c r="H86" s="22">
        <v>2537.7399999999998</v>
      </c>
      <c r="I86" s="22">
        <v>566.46</v>
      </c>
      <c r="J86" s="22">
        <v>391.5</v>
      </c>
      <c r="K86" s="9" t="str">
        <f t="shared" si="41"/>
        <v/>
      </c>
      <c r="L86" s="10">
        <f t="shared" si="16"/>
        <v>61</v>
      </c>
      <c r="M86" s="27">
        <f t="shared" si="30"/>
        <v>115.295</v>
      </c>
      <c r="N86" s="14">
        <f t="shared" si="31"/>
        <v>140.34</v>
      </c>
      <c r="O86" s="14">
        <f t="shared" si="32"/>
        <v>162.14425800000001</v>
      </c>
      <c r="P86" s="14">
        <f t="shared" si="33"/>
        <v>127.267824</v>
      </c>
      <c r="Q86" s="14">
        <f t="shared" si="34"/>
        <v>19255.7</v>
      </c>
      <c r="R86" s="14">
        <f t="shared" si="35"/>
        <v>358.3</v>
      </c>
      <c r="S86" s="14">
        <f t="shared" si="36"/>
        <v>2603.25</v>
      </c>
      <c r="T86" s="14">
        <f t="shared" si="37"/>
        <v>607.70000000000005</v>
      </c>
      <c r="U86" s="14">
        <f t="shared" si="38"/>
        <v>391.5</v>
      </c>
      <c r="V86" s="36">
        <f t="shared" si="39"/>
        <v>101.68586092429716</v>
      </c>
      <c r="W86" s="13">
        <f>Weights!$B$9*Index!B86/Index!M86</f>
        <v>2.9998386747040199E-2</v>
      </c>
      <c r="X86" s="13">
        <f>Weights!$B$10*Index!C86/Index!N86</f>
        <v>0.24736354567478983</v>
      </c>
      <c r="Y86" s="13">
        <f>Weights!$B$11*Index!D86/Index!O86</f>
        <v>6.8584815380881389E-2</v>
      </c>
      <c r="Z86" s="13">
        <f>Weights!$B$12*Index!E86/Index!P86</f>
        <v>2.0035731419435598E-2</v>
      </c>
      <c r="AA86" s="13">
        <f>Weights!$B$13*Index!F86/Index!Q86</f>
        <v>0.11978495718150989</v>
      </c>
      <c r="AB86" s="13">
        <f>Weights!$B$14*Index!G86/Index!R86</f>
        <v>0.18979626011722023</v>
      </c>
      <c r="AC86" s="13">
        <f>Weights!$B$15*Index!H86/Index!S86</f>
        <v>4.8741765101315664E-2</v>
      </c>
      <c r="AD86" s="13">
        <f>Weights!$B$16*Index!I86/Index!T86</f>
        <v>0</v>
      </c>
      <c r="AE86" s="13">
        <f>Weights!$B$17*Index!J86/Index!U86</f>
        <v>0.25</v>
      </c>
      <c r="AF86" s="20">
        <f t="shared" si="17"/>
        <v>99.073089668297442</v>
      </c>
      <c r="AG86" s="35">
        <f t="shared" si="40"/>
        <v>101.77565615791927</v>
      </c>
      <c r="AH86" s="12">
        <f>Weights!$E$9*Index!B86/M86</f>
        <v>1.8242262211037957E-2</v>
      </c>
      <c r="AI86" s="12">
        <f>Weights!$E$10*Index!C86/N86</f>
        <v>2.0457633777428562E-2</v>
      </c>
      <c r="AJ86" s="12">
        <f>Weights!$E$11*Index!D86/O86</f>
        <v>0</v>
      </c>
      <c r="AK86" s="12">
        <f>Weights!$E$12*Index!E86/P86</f>
        <v>0.186413528138938</v>
      </c>
      <c r="AL86" s="12">
        <f>Weights!$E$13*Index!F86/Q86</f>
        <v>0.29024816547827392</v>
      </c>
      <c r="AM86" s="12">
        <f>Weights!$E$14*Index!G86/R86</f>
        <v>0</v>
      </c>
      <c r="AN86" s="12">
        <f>Weights!$E$15*Index!H86/S86</f>
        <v>0.20471541342552574</v>
      </c>
      <c r="AO86" s="12">
        <f>Weights!$E$16*Index!I86/T86</f>
        <v>0</v>
      </c>
      <c r="AP86" s="12">
        <f>Weights!$E$17*Index!J86/U86</f>
        <v>0.25</v>
      </c>
      <c r="AQ86" s="45">
        <f t="shared" si="18"/>
        <v>98.730223507208649</v>
      </c>
    </row>
    <row r="87" spans="1:43" x14ac:dyDescent="0.25">
      <c r="A87" s="8">
        <v>46107</v>
      </c>
      <c r="B87" s="22">
        <v>115.2886</v>
      </c>
      <c r="C87" s="22">
        <v>138.38</v>
      </c>
      <c r="D87" s="22">
        <v>158.08477600000001</v>
      </c>
      <c r="E87" s="22">
        <v>127.019566</v>
      </c>
      <c r="F87" s="22">
        <v>17664.490000000002</v>
      </c>
      <c r="G87" s="22">
        <v>334.63</v>
      </c>
      <c r="H87" s="22">
        <v>2503.41</v>
      </c>
      <c r="I87" s="22">
        <v>568.80999999999995</v>
      </c>
      <c r="J87" s="22">
        <v>391.5</v>
      </c>
      <c r="K87" s="9" t="str">
        <f t="shared" si="41"/>
        <v/>
      </c>
      <c r="L87" s="10">
        <f t="shared" si="16"/>
        <v>61</v>
      </c>
      <c r="M87" s="27">
        <f t="shared" si="30"/>
        <v>115.295</v>
      </c>
      <c r="N87" s="14">
        <f t="shared" si="31"/>
        <v>140.34</v>
      </c>
      <c r="O87" s="14">
        <f t="shared" si="32"/>
        <v>162.14425800000001</v>
      </c>
      <c r="P87" s="14">
        <f t="shared" si="33"/>
        <v>127.267824</v>
      </c>
      <c r="Q87" s="14">
        <f t="shared" si="34"/>
        <v>19255.7</v>
      </c>
      <c r="R87" s="14">
        <f t="shared" si="35"/>
        <v>358.3</v>
      </c>
      <c r="S87" s="14">
        <f t="shared" si="36"/>
        <v>2603.25</v>
      </c>
      <c r="T87" s="14">
        <f t="shared" si="37"/>
        <v>607.70000000000005</v>
      </c>
      <c r="U87" s="14">
        <f t="shared" si="38"/>
        <v>391.5</v>
      </c>
      <c r="V87" s="36">
        <f t="shared" si="39"/>
        <v>101.68586092429716</v>
      </c>
      <c r="W87" s="13">
        <f>Weights!$B$9*Index!B87/Index!M87</f>
        <v>2.9998334706622141E-2</v>
      </c>
      <c r="X87" s="13">
        <f>Weights!$B$10*Index!C87/Index!N87</f>
        <v>0.24650847940715404</v>
      </c>
      <c r="Y87" s="13">
        <f>Weights!$B$11*Index!D87/Index!O87</f>
        <v>6.824746344085772E-2</v>
      </c>
      <c r="Z87" s="13">
        <f>Weights!$B$12*Index!E87/Index!P87</f>
        <v>1.9960986525549458E-2</v>
      </c>
      <c r="AA87" s="13">
        <f>Weights!$B$13*Index!F87/Index!Q87</f>
        <v>0.11925734717512218</v>
      </c>
      <c r="AB87" s="13">
        <f>Weights!$B$14*Index!G87/Index!R87</f>
        <v>0.1867876081495953</v>
      </c>
      <c r="AC87" s="13">
        <f>Weights!$B$15*Index!H87/Index!S87</f>
        <v>4.8082397003745322E-2</v>
      </c>
      <c r="AD87" s="13">
        <f>Weights!$B$16*Index!I87/Index!T87</f>
        <v>0</v>
      </c>
      <c r="AE87" s="13">
        <f>Weights!$B$17*Index!J87/Index!U87</f>
        <v>0.25</v>
      </c>
      <c r="AF87" s="20">
        <f t="shared" si="17"/>
        <v>98.517595549661763</v>
      </c>
      <c r="AG87" s="35">
        <f t="shared" si="40"/>
        <v>101.77565615791927</v>
      </c>
      <c r="AH87" s="12">
        <f>Weights!$E$9*Index!B87/M87</f>
        <v>1.8242230564837793E-2</v>
      </c>
      <c r="AI87" s="12">
        <f>Weights!$E$10*Index!C87/N87</f>
        <v>2.0386917486105171E-2</v>
      </c>
      <c r="AJ87" s="12">
        <f>Weights!$E$11*Index!D87/O87</f>
        <v>0</v>
      </c>
      <c r="AK87" s="12">
        <f>Weights!$E$12*Index!E87/P87</f>
        <v>0.18571809760595681</v>
      </c>
      <c r="AL87" s="12">
        <f>Weights!$E$13*Index!F87/Q87</f>
        <v>0.28896972584741137</v>
      </c>
      <c r="AM87" s="12">
        <f>Weights!$E$14*Index!G87/R87</f>
        <v>0</v>
      </c>
      <c r="AN87" s="12">
        <f>Weights!$E$15*Index!H87/S87</f>
        <v>0.20194606741573029</v>
      </c>
      <c r="AO87" s="12">
        <f>Weights!$E$16*Index!I87/T87</f>
        <v>0</v>
      </c>
      <c r="AP87" s="12">
        <f>Weights!$E$17*Index!J87/U87</f>
        <v>0.25</v>
      </c>
      <c r="AQ87" s="45">
        <f t="shared" si="18"/>
        <v>98.240279151074375</v>
      </c>
    </row>
    <row r="88" spans="1:43" x14ac:dyDescent="0.25">
      <c r="A88" s="8">
        <v>46108</v>
      </c>
      <c r="B88" s="22">
        <v>115.28830000000001</v>
      </c>
      <c r="C88" s="22">
        <v>138.26</v>
      </c>
      <c r="D88" s="22">
        <v>157.75637599999999</v>
      </c>
      <c r="E88" s="22">
        <v>127.17498000000001</v>
      </c>
      <c r="F88" s="22">
        <v>17552.21</v>
      </c>
      <c r="G88" s="22">
        <v>329.83</v>
      </c>
      <c r="H88" s="22">
        <v>2478.6999999999998</v>
      </c>
      <c r="I88" s="22">
        <v>568.76</v>
      </c>
      <c r="J88" s="22">
        <v>391.5</v>
      </c>
      <c r="K88" s="9" t="str">
        <f t="shared" si="41"/>
        <v/>
      </c>
      <c r="L88" s="10">
        <f t="shared" si="16"/>
        <v>61</v>
      </c>
      <c r="M88" s="27">
        <f t="shared" si="30"/>
        <v>115.295</v>
      </c>
      <c r="N88" s="14">
        <f t="shared" si="31"/>
        <v>140.34</v>
      </c>
      <c r="O88" s="14">
        <f t="shared" si="32"/>
        <v>162.14425800000001</v>
      </c>
      <c r="P88" s="14">
        <f t="shared" si="33"/>
        <v>127.267824</v>
      </c>
      <c r="Q88" s="14">
        <f t="shared" si="34"/>
        <v>19255.7</v>
      </c>
      <c r="R88" s="14">
        <f t="shared" si="35"/>
        <v>358.3</v>
      </c>
      <c r="S88" s="14">
        <f t="shared" si="36"/>
        <v>2603.25</v>
      </c>
      <c r="T88" s="14">
        <f t="shared" si="37"/>
        <v>607.70000000000005</v>
      </c>
      <c r="U88" s="14">
        <f t="shared" si="38"/>
        <v>391.5</v>
      </c>
      <c r="V88" s="36">
        <f t="shared" si="39"/>
        <v>101.68586092429716</v>
      </c>
      <c r="W88" s="13">
        <f>Weights!$B$9*Index!B88/Index!M88</f>
        <v>2.9998256645995054E-2</v>
      </c>
      <c r="X88" s="13">
        <f>Weights!$B$10*Index!C88/Index!N88</f>
        <v>0.24629471284024509</v>
      </c>
      <c r="Y88" s="13">
        <f>Weights!$B$11*Index!D88/Index!O88</f>
        <v>6.8105688454289881E-2</v>
      </c>
      <c r="Z88" s="13">
        <f>Weights!$B$12*Index!E88/Index!P88</f>
        <v>1.9985409666468407E-2</v>
      </c>
      <c r="AA88" s="13">
        <f>Weights!$B$13*Index!F88/Index!Q88</f>
        <v>0.11849931708533057</v>
      </c>
      <c r="AB88" s="13">
        <f>Weights!$B$14*Index!G88/Index!R88</f>
        <v>0.18410828914317609</v>
      </c>
      <c r="AC88" s="13">
        <f>Weights!$B$15*Index!H88/Index!S88</f>
        <v>4.7607797944876601E-2</v>
      </c>
      <c r="AD88" s="13">
        <f>Weights!$B$16*Index!I88/Index!T88</f>
        <v>0</v>
      </c>
      <c r="AE88" s="13">
        <f>Weights!$B$17*Index!J88/Index!U88</f>
        <v>0.25</v>
      </c>
      <c r="AF88" s="20">
        <f t="shared" si="17"/>
        <v>98.086127735110395</v>
      </c>
      <c r="AG88" s="35">
        <f t="shared" si="40"/>
        <v>101.77565615791927</v>
      </c>
      <c r="AH88" s="12">
        <f>Weights!$E$9*Index!B88/M88</f>
        <v>1.8242183095537535E-2</v>
      </c>
      <c r="AI88" s="12">
        <f>Weights!$E$10*Index!C88/N88</f>
        <v>2.0369238413274322E-2</v>
      </c>
      <c r="AJ88" s="12">
        <f>Weights!$E$11*Index!D88/O88</f>
        <v>0</v>
      </c>
      <c r="AK88" s="12">
        <f>Weights!$E$12*Index!E88/P88</f>
        <v>0.18594533182923648</v>
      </c>
      <c r="AL88" s="12">
        <f>Weights!$E$13*Index!F88/Q88</f>
        <v>0.2871329606298394</v>
      </c>
      <c r="AM88" s="12">
        <f>Weights!$E$14*Index!G88/R88</f>
        <v>0</v>
      </c>
      <c r="AN88" s="12">
        <f>Weights!$E$15*Index!H88/S88</f>
        <v>0.19995275136848167</v>
      </c>
      <c r="AO88" s="12">
        <f>Weights!$E$16*Index!I88/T88</f>
        <v>0</v>
      </c>
      <c r="AP88" s="12">
        <f>Weights!$E$17*Index!J88/U88</f>
        <v>0.25</v>
      </c>
      <c r="AQ88" s="45">
        <f t="shared" si="18"/>
        <v>97.871792898928135</v>
      </c>
    </row>
    <row r="89" spans="1:43" x14ac:dyDescent="0.25">
      <c r="A89" s="8">
        <v>46109</v>
      </c>
      <c r="B89" s="22">
        <v>115.28830000000001</v>
      </c>
      <c r="C89" s="22">
        <v>138.26</v>
      </c>
      <c r="D89" s="22">
        <v>157.75637599999999</v>
      </c>
      <c r="E89" s="22">
        <v>127.17498000000001</v>
      </c>
      <c r="F89" s="22">
        <v>17552.21</v>
      </c>
      <c r="G89" s="22">
        <v>329.83</v>
      </c>
      <c r="H89" s="22">
        <v>2478.6999999999998</v>
      </c>
      <c r="I89" s="22">
        <v>568.76</v>
      </c>
      <c r="J89" s="22">
        <v>391.5</v>
      </c>
      <c r="K89" s="9" t="str">
        <f t="shared" si="41"/>
        <v/>
      </c>
      <c r="L89" s="10">
        <f t="shared" si="16"/>
        <v>61</v>
      </c>
      <c r="M89" s="27">
        <f t="shared" si="30"/>
        <v>115.295</v>
      </c>
      <c r="N89" s="14">
        <f t="shared" si="31"/>
        <v>140.34</v>
      </c>
      <c r="O89" s="14">
        <f t="shared" si="32"/>
        <v>162.14425800000001</v>
      </c>
      <c r="P89" s="14">
        <f t="shared" si="33"/>
        <v>127.267824</v>
      </c>
      <c r="Q89" s="14">
        <f t="shared" si="34"/>
        <v>19255.7</v>
      </c>
      <c r="R89" s="14">
        <f t="shared" si="35"/>
        <v>358.3</v>
      </c>
      <c r="S89" s="14">
        <f t="shared" si="36"/>
        <v>2603.25</v>
      </c>
      <c r="T89" s="14">
        <f t="shared" si="37"/>
        <v>607.70000000000005</v>
      </c>
      <c r="U89" s="14">
        <f t="shared" si="38"/>
        <v>391.5</v>
      </c>
      <c r="V89" s="36">
        <f t="shared" si="39"/>
        <v>101.68586092429716</v>
      </c>
      <c r="W89" s="13">
        <f>Weights!$B$9*Index!B89/Index!M89</f>
        <v>2.9998256645995054E-2</v>
      </c>
      <c r="X89" s="13">
        <f>Weights!$B$10*Index!C89/Index!N89</f>
        <v>0.24629471284024509</v>
      </c>
      <c r="Y89" s="13">
        <f>Weights!$B$11*Index!D89/Index!O89</f>
        <v>6.8105688454289881E-2</v>
      </c>
      <c r="Z89" s="13">
        <f>Weights!$B$12*Index!E89/Index!P89</f>
        <v>1.9985409666468407E-2</v>
      </c>
      <c r="AA89" s="13">
        <f>Weights!$B$13*Index!F89/Index!Q89</f>
        <v>0.11849931708533057</v>
      </c>
      <c r="AB89" s="13">
        <f>Weights!$B$14*Index!G89/Index!R89</f>
        <v>0.18410828914317609</v>
      </c>
      <c r="AC89" s="13">
        <f>Weights!$B$15*Index!H89/Index!S89</f>
        <v>4.7607797944876601E-2</v>
      </c>
      <c r="AD89" s="13">
        <f>Weights!$B$16*Index!I89/Index!T89</f>
        <v>0</v>
      </c>
      <c r="AE89" s="13">
        <f>Weights!$B$17*Index!J89/Index!U89</f>
        <v>0.25</v>
      </c>
      <c r="AF89" s="20">
        <f t="shared" si="17"/>
        <v>98.086127735110395</v>
      </c>
      <c r="AG89" s="35">
        <f t="shared" si="40"/>
        <v>101.77565615791927</v>
      </c>
      <c r="AH89" s="12">
        <f>Weights!$E$9*Index!B89/M89</f>
        <v>1.8242183095537535E-2</v>
      </c>
      <c r="AI89" s="12">
        <f>Weights!$E$10*Index!C89/N89</f>
        <v>2.0369238413274322E-2</v>
      </c>
      <c r="AJ89" s="12">
        <f>Weights!$E$11*Index!D89/O89</f>
        <v>0</v>
      </c>
      <c r="AK89" s="12">
        <f>Weights!$E$12*Index!E89/P89</f>
        <v>0.18594533182923648</v>
      </c>
      <c r="AL89" s="12">
        <f>Weights!$E$13*Index!F89/Q89</f>
        <v>0.2871329606298394</v>
      </c>
      <c r="AM89" s="12">
        <f>Weights!$E$14*Index!G89/R89</f>
        <v>0</v>
      </c>
      <c r="AN89" s="12">
        <f>Weights!$E$15*Index!H89/S89</f>
        <v>0.19995275136848167</v>
      </c>
      <c r="AO89" s="12">
        <f>Weights!$E$16*Index!I89/T89</f>
        <v>0</v>
      </c>
      <c r="AP89" s="12">
        <f>Weights!$E$17*Index!J89/U89</f>
        <v>0.25</v>
      </c>
      <c r="AQ89" s="45">
        <f t="shared" si="18"/>
        <v>97.871792898928135</v>
      </c>
    </row>
    <row r="90" spans="1:43" x14ac:dyDescent="0.25">
      <c r="A90" s="8">
        <v>46110</v>
      </c>
      <c r="B90" s="22">
        <v>115.28830000000001</v>
      </c>
      <c r="C90" s="22">
        <v>138.26</v>
      </c>
      <c r="D90" s="22">
        <v>157.75637599999999</v>
      </c>
      <c r="E90" s="22">
        <v>127.17498000000001</v>
      </c>
      <c r="F90" s="22">
        <v>17552.21</v>
      </c>
      <c r="G90" s="22">
        <v>329.83</v>
      </c>
      <c r="H90" s="22">
        <v>2478.6999999999998</v>
      </c>
      <c r="I90" s="22">
        <v>568.76</v>
      </c>
      <c r="J90" s="22">
        <v>391.5</v>
      </c>
      <c r="K90" s="9" t="str">
        <f t="shared" si="41"/>
        <v/>
      </c>
      <c r="L90" s="10">
        <f t="shared" si="16"/>
        <v>61</v>
      </c>
      <c r="M90" s="27">
        <f t="shared" si="30"/>
        <v>115.295</v>
      </c>
      <c r="N90" s="14">
        <f t="shared" si="31"/>
        <v>140.34</v>
      </c>
      <c r="O90" s="14">
        <f t="shared" si="32"/>
        <v>162.14425800000001</v>
      </c>
      <c r="P90" s="14">
        <f t="shared" si="33"/>
        <v>127.267824</v>
      </c>
      <c r="Q90" s="14">
        <f t="shared" si="34"/>
        <v>19255.7</v>
      </c>
      <c r="R90" s="14">
        <f t="shared" si="35"/>
        <v>358.3</v>
      </c>
      <c r="S90" s="14">
        <f t="shared" si="36"/>
        <v>2603.25</v>
      </c>
      <c r="T90" s="14">
        <f t="shared" si="37"/>
        <v>607.70000000000005</v>
      </c>
      <c r="U90" s="14">
        <f t="shared" si="38"/>
        <v>391.5</v>
      </c>
      <c r="V90" s="36">
        <f t="shared" si="39"/>
        <v>101.68586092429716</v>
      </c>
      <c r="W90" s="13">
        <f>Weights!$B$9*Index!B90/Index!M90</f>
        <v>2.9998256645995054E-2</v>
      </c>
      <c r="X90" s="13">
        <f>Weights!$B$10*Index!C90/Index!N90</f>
        <v>0.24629471284024509</v>
      </c>
      <c r="Y90" s="13">
        <f>Weights!$B$11*Index!D90/Index!O90</f>
        <v>6.8105688454289881E-2</v>
      </c>
      <c r="Z90" s="13">
        <f>Weights!$B$12*Index!E90/Index!P90</f>
        <v>1.9985409666468407E-2</v>
      </c>
      <c r="AA90" s="13">
        <f>Weights!$B$13*Index!F90/Index!Q90</f>
        <v>0.11849931708533057</v>
      </c>
      <c r="AB90" s="13">
        <f>Weights!$B$14*Index!G90/Index!R90</f>
        <v>0.18410828914317609</v>
      </c>
      <c r="AC90" s="13">
        <f>Weights!$B$15*Index!H90/Index!S90</f>
        <v>4.7607797944876601E-2</v>
      </c>
      <c r="AD90" s="13">
        <f>Weights!$B$16*Index!I90/Index!T90</f>
        <v>0</v>
      </c>
      <c r="AE90" s="13">
        <f>Weights!$B$17*Index!J90/Index!U90</f>
        <v>0.25</v>
      </c>
      <c r="AF90" s="20">
        <f t="shared" si="17"/>
        <v>98.086127735110395</v>
      </c>
      <c r="AG90" s="35">
        <f t="shared" si="40"/>
        <v>101.77565615791927</v>
      </c>
      <c r="AH90" s="12">
        <f>Weights!$E$9*Index!B90/M90</f>
        <v>1.8242183095537535E-2</v>
      </c>
      <c r="AI90" s="12">
        <f>Weights!$E$10*Index!C90/N90</f>
        <v>2.0369238413274322E-2</v>
      </c>
      <c r="AJ90" s="12">
        <f>Weights!$E$11*Index!D90/O90</f>
        <v>0</v>
      </c>
      <c r="AK90" s="12">
        <f>Weights!$E$12*Index!E90/P90</f>
        <v>0.18594533182923648</v>
      </c>
      <c r="AL90" s="12">
        <f>Weights!$E$13*Index!F90/Q90</f>
        <v>0.2871329606298394</v>
      </c>
      <c r="AM90" s="12">
        <f>Weights!$E$14*Index!G90/R90</f>
        <v>0</v>
      </c>
      <c r="AN90" s="12">
        <f>Weights!$E$15*Index!H90/S90</f>
        <v>0.19995275136848167</v>
      </c>
      <c r="AO90" s="12">
        <f>Weights!$E$16*Index!I90/T90</f>
        <v>0</v>
      </c>
      <c r="AP90" s="12">
        <f>Weights!$E$17*Index!J90/U90</f>
        <v>0.25</v>
      </c>
      <c r="AQ90" s="45">
        <f t="shared" si="18"/>
        <v>97.871792898928135</v>
      </c>
    </row>
    <row r="91" spans="1:43" x14ac:dyDescent="0.25">
      <c r="A91" s="8">
        <v>46111</v>
      </c>
      <c r="B91" s="22">
        <v>115.2876</v>
      </c>
      <c r="C91" s="22">
        <v>138.55000000000001</v>
      </c>
      <c r="D91" s="22">
        <v>158.304419</v>
      </c>
      <c r="E91" s="22">
        <v>127.923744</v>
      </c>
      <c r="F91" s="22">
        <v>17673.080000000002</v>
      </c>
      <c r="G91" s="22">
        <v>328.63</v>
      </c>
      <c r="H91" s="22">
        <v>2478.87</v>
      </c>
      <c r="I91" s="22">
        <v>566.79</v>
      </c>
      <c r="J91" s="22">
        <v>391.5</v>
      </c>
      <c r="K91" s="9" t="str">
        <f t="shared" si="41"/>
        <v/>
      </c>
      <c r="L91" s="10">
        <f t="shared" si="16"/>
        <v>61</v>
      </c>
      <c r="M91" s="27">
        <f t="shared" si="30"/>
        <v>115.295</v>
      </c>
      <c r="N91" s="14">
        <f t="shared" si="31"/>
        <v>140.34</v>
      </c>
      <c r="O91" s="14">
        <f t="shared" si="32"/>
        <v>162.14425800000001</v>
      </c>
      <c r="P91" s="14">
        <f t="shared" si="33"/>
        <v>127.267824</v>
      </c>
      <c r="Q91" s="14">
        <f t="shared" si="34"/>
        <v>19255.7</v>
      </c>
      <c r="R91" s="14">
        <f t="shared" si="35"/>
        <v>358.3</v>
      </c>
      <c r="S91" s="14">
        <f t="shared" si="36"/>
        <v>2603.25</v>
      </c>
      <c r="T91" s="14">
        <f t="shared" si="37"/>
        <v>607.70000000000005</v>
      </c>
      <c r="U91" s="14">
        <f t="shared" si="38"/>
        <v>391.5</v>
      </c>
      <c r="V91" s="36">
        <f t="shared" si="39"/>
        <v>101.68586092429716</v>
      </c>
      <c r="W91" s="13">
        <f>Weights!$B$9*Index!B91/Index!M91</f>
        <v>2.999807450453185E-2</v>
      </c>
      <c r="X91" s="13">
        <f>Weights!$B$10*Index!C91/Index!N91</f>
        <v>0.24681131537694173</v>
      </c>
      <c r="Y91" s="13">
        <f>Weights!$B$11*Index!D91/Index!O91</f>
        <v>6.8342286471840416E-2</v>
      </c>
      <c r="Z91" s="13">
        <f>Weights!$B$12*Index!E91/Index!P91</f>
        <v>2.0103077113976582E-2</v>
      </c>
      <c r="AA91" s="13">
        <f>Weights!$B$13*Index!F91/Index!Q91</f>
        <v>0.11931534039271489</v>
      </c>
      <c r="AB91" s="13">
        <f>Weights!$B$14*Index!G91/Index!R91</f>
        <v>0.1834384593915713</v>
      </c>
      <c r="AC91" s="13">
        <f>Weights!$B$15*Index!H91/Index!S91</f>
        <v>4.7611063094209163E-2</v>
      </c>
      <c r="AD91" s="13">
        <f>Weights!$B$16*Index!I91/Index!T91</f>
        <v>0</v>
      </c>
      <c r="AE91" s="13">
        <f>Weights!$B$17*Index!J91/Index!U91</f>
        <v>0.25</v>
      </c>
      <c r="AF91" s="20">
        <f t="shared" si="17"/>
        <v>98.189862013510776</v>
      </c>
      <c r="AG91" s="35">
        <f t="shared" si="40"/>
        <v>101.77565615791927</v>
      </c>
      <c r="AH91" s="12">
        <f>Weights!$E$9*Index!B91/M91</f>
        <v>1.8242072333836939E-2</v>
      </c>
      <c r="AI91" s="12">
        <f>Weights!$E$10*Index!C91/N91</f>
        <v>2.0411962839282208E-2</v>
      </c>
      <c r="AJ91" s="12">
        <f>Weights!$E$11*Index!D91/O91</f>
        <v>0</v>
      </c>
      <c r="AK91" s="12">
        <f>Weights!$E$12*Index!E91/P91</f>
        <v>0.18704011612125512</v>
      </c>
      <c r="AL91" s="12">
        <f>Weights!$E$13*Index!F91/Q91</f>
        <v>0.28911024787465528</v>
      </c>
      <c r="AM91" s="12">
        <f>Weights!$E$14*Index!G91/R91</f>
        <v>0</v>
      </c>
      <c r="AN91" s="12">
        <f>Weights!$E$15*Index!H91/S91</f>
        <v>0.19996646499567841</v>
      </c>
      <c r="AO91" s="12">
        <f>Weights!$E$16*Index!I91/T91</f>
        <v>0</v>
      </c>
      <c r="AP91" s="12">
        <f>Weights!$E$17*Index!J91/U91</f>
        <v>0.25</v>
      </c>
      <c r="AQ91" s="45">
        <f t="shared" si="18"/>
        <v>98.190187742405953</v>
      </c>
    </row>
    <row r="92" spans="1:43" x14ac:dyDescent="0.25">
      <c r="A92" s="8">
        <v>46112</v>
      </c>
      <c r="B92" s="22">
        <v>115.2873</v>
      </c>
      <c r="C92" s="22">
        <v>138.72</v>
      </c>
      <c r="D92" s="22">
        <v>158.58182600000001</v>
      </c>
      <c r="E92" s="22">
        <v>128.88927799999999</v>
      </c>
      <c r="F92" s="22">
        <v>17835.66</v>
      </c>
      <c r="G92" s="22">
        <v>336.24</v>
      </c>
      <c r="H92" s="22">
        <v>2546.7800000000002</v>
      </c>
      <c r="I92" s="22">
        <v>575.76</v>
      </c>
      <c r="J92" s="22">
        <v>393.36</v>
      </c>
      <c r="K92" s="9" t="str">
        <f t="shared" si="41"/>
        <v>✔</v>
      </c>
      <c r="L92" s="10">
        <f t="shared" ref="L92:L122" si="42">IF(K91="✔",ROW(K91),L91)</f>
        <v>61</v>
      </c>
      <c r="M92" s="27">
        <f t="shared" si="30"/>
        <v>115.295</v>
      </c>
      <c r="N92" s="14">
        <f t="shared" si="31"/>
        <v>140.34</v>
      </c>
      <c r="O92" s="14">
        <f t="shared" si="32"/>
        <v>162.14425800000001</v>
      </c>
      <c r="P92" s="14">
        <f t="shared" si="33"/>
        <v>127.267824</v>
      </c>
      <c r="Q92" s="14">
        <f t="shared" si="34"/>
        <v>19255.7</v>
      </c>
      <c r="R92" s="14">
        <f t="shared" si="35"/>
        <v>358.3</v>
      </c>
      <c r="S92" s="14">
        <f t="shared" si="36"/>
        <v>2603.25</v>
      </c>
      <c r="T92" s="14">
        <f t="shared" si="37"/>
        <v>607.70000000000005</v>
      </c>
      <c r="U92" s="14">
        <f t="shared" si="38"/>
        <v>391.5</v>
      </c>
      <c r="V92" s="36">
        <f t="shared" si="39"/>
        <v>101.68586092429716</v>
      </c>
      <c r="W92" s="13">
        <f>Weights!$B$9*Index!B92/Index!M92</f>
        <v>2.9997996443904766E-2</v>
      </c>
      <c r="X92" s="13">
        <f>Weights!$B$10*Index!C92/Index!N92</f>
        <v>0.24711415134672937</v>
      </c>
      <c r="Y92" s="13">
        <f>Weights!$B$11*Index!D92/Index!O92</f>
        <v>6.8462047049486024E-2</v>
      </c>
      <c r="Z92" s="13">
        <f>Weights!$B$12*Index!E92/Index!P92</f>
        <v>2.0254809731012607E-2</v>
      </c>
      <c r="AA92" s="13">
        <f>Weights!$B$13*Index!F92/Index!Q92</f>
        <v>0.12041295824093645</v>
      </c>
      <c r="AB92" s="13">
        <f>Weights!$B$14*Index!G92/Index!R92</f>
        <v>0.18768629639966508</v>
      </c>
      <c r="AC92" s="13">
        <f>Weights!$B$15*Index!H92/Index!S92</f>
        <v>4.8915394218765007E-2</v>
      </c>
      <c r="AD92" s="13">
        <f>Weights!$B$16*Index!I92/Index!T92</f>
        <v>0</v>
      </c>
      <c r="AE92" s="13">
        <f>Weights!$B$17*Index!J92/Index!U92</f>
        <v>0.25118773946360157</v>
      </c>
      <c r="AF92" s="20">
        <f t="shared" ref="AF92:AF122" si="43">V92*SUM(W92:AE92)</f>
        <v>99.045220753728984</v>
      </c>
      <c r="AG92" s="35">
        <f t="shared" si="40"/>
        <v>101.77565615791927</v>
      </c>
      <c r="AH92" s="12">
        <f>Weights!$E$9*Index!B92/M92</f>
        <v>1.8242024864536684E-2</v>
      </c>
      <c r="AI92" s="12">
        <f>Weights!$E$10*Index!C92/N92</f>
        <v>2.0437008192459239E-2</v>
      </c>
      <c r="AJ92" s="12">
        <f>Weights!$E$11*Index!D92/O92</f>
        <v>0</v>
      </c>
      <c r="AK92" s="12">
        <f>Weights!$E$12*Index!E92/P92</f>
        <v>0.18845184459192135</v>
      </c>
      <c r="AL92" s="12">
        <f>Weights!$E$13*Index!F92/Q92</f>
        <v>0.29176986035303826</v>
      </c>
      <c r="AM92" s="12">
        <f>Weights!$E$14*Index!G92/R92</f>
        <v>0</v>
      </c>
      <c r="AN92" s="12">
        <f>Weights!$E$15*Index!H92/S92</f>
        <v>0.20544465571881301</v>
      </c>
      <c r="AO92" s="12">
        <f>Weights!$E$16*Index!I92/T92</f>
        <v>0</v>
      </c>
      <c r="AP92" s="12">
        <f>Weights!$E$17*Index!J92/U92</f>
        <v>0.25118773946360157</v>
      </c>
      <c r="AQ92" s="45">
        <f t="shared" ref="AQ92:AQ122" si="44">AG92*SUM(AH92:AP92)</f>
        <v>99.285524733630098</v>
      </c>
    </row>
    <row r="93" spans="1:43" x14ac:dyDescent="0.25">
      <c r="A93" s="8">
        <v>46113</v>
      </c>
      <c r="B93" s="22">
        <v>115.2871</v>
      </c>
      <c r="C93" s="22">
        <v>138.77000000000001</v>
      </c>
      <c r="D93" s="22">
        <v>158.82802800000002</v>
      </c>
      <c r="E93" s="22">
        <v>127.896393</v>
      </c>
      <c r="F93" s="22">
        <v>18133.98</v>
      </c>
      <c r="G93" s="22">
        <v>340.19</v>
      </c>
      <c r="H93" s="22">
        <v>2549.9899999999998</v>
      </c>
      <c r="I93" s="22">
        <v>582.89</v>
      </c>
      <c r="J93" s="22">
        <v>393.36</v>
      </c>
      <c r="K93" s="9" t="str">
        <f t="shared" si="41"/>
        <v/>
      </c>
      <c r="L93" s="10">
        <f t="shared" si="42"/>
        <v>92</v>
      </c>
      <c r="M93" s="27">
        <f t="shared" si="30"/>
        <v>115.2873</v>
      </c>
      <c r="N93" s="14">
        <f t="shared" si="31"/>
        <v>138.72</v>
      </c>
      <c r="O93" s="14">
        <f t="shared" si="32"/>
        <v>158.58182600000001</v>
      </c>
      <c r="P93" s="14">
        <f t="shared" si="33"/>
        <v>128.88927799999999</v>
      </c>
      <c r="Q93" s="14">
        <f t="shared" si="34"/>
        <v>17835.66</v>
      </c>
      <c r="R93" s="14">
        <f t="shared" si="35"/>
        <v>336.24</v>
      </c>
      <c r="S93" s="14">
        <f t="shared" si="36"/>
        <v>2546.7800000000002</v>
      </c>
      <c r="T93" s="14">
        <f t="shared" si="37"/>
        <v>575.76</v>
      </c>
      <c r="U93" s="14">
        <f t="shared" si="38"/>
        <v>393.36</v>
      </c>
      <c r="V93" s="36">
        <f t="shared" si="39"/>
        <v>99.045220753728984</v>
      </c>
      <c r="W93" s="13">
        <f>Weights!$B$9*Index!B93/Index!M93</f>
        <v>2.9999947956106176E-2</v>
      </c>
      <c r="X93" s="13">
        <f>Weights!$B$10*Index!C93/Index!N93</f>
        <v>0.25009010957324107</v>
      </c>
      <c r="Y93" s="13">
        <f>Weights!$B$11*Index!D93/Index!O93</f>
        <v>7.0108676639907039E-2</v>
      </c>
      <c r="Z93" s="13">
        <f>Weights!$B$12*Index!E93/Index!P93</f>
        <v>1.9845932103056702E-2</v>
      </c>
      <c r="AA93" s="13">
        <f>Weights!$B$13*Index!F93/Index!Q93</f>
        <v>0.13217438547269908</v>
      </c>
      <c r="AB93" s="13">
        <f>Weights!$B$14*Index!G93/Index!R93</f>
        <v>0.20234951225315251</v>
      </c>
      <c r="AC93" s="13">
        <f>Weights!$B$15*Index!H93/Index!S93</f>
        <v>5.0063020755620816E-2</v>
      </c>
      <c r="AD93" s="13">
        <f>Weights!$B$16*Index!I93/Index!T93</f>
        <v>0</v>
      </c>
      <c r="AE93" s="13">
        <f>Weights!$B$17*Index!J93/Index!U93</f>
        <v>0.25</v>
      </c>
      <c r="AF93" s="20">
        <f t="shared" si="43"/>
        <v>99.503957088107072</v>
      </c>
      <c r="AG93" s="35">
        <f t="shared" si="40"/>
        <v>99.285524733630098</v>
      </c>
      <c r="AH93" s="12">
        <f>Weights!$E$9*Index!B93/M93</f>
        <v>1.8243211594929434E-2</v>
      </c>
      <c r="AI93" s="12">
        <f>Weights!$E$10*Index!C93/N93</f>
        <v>2.06831279809221E-2</v>
      </c>
      <c r="AJ93" s="12">
        <f>Weights!$E$11*Index!D93/O93</f>
        <v>0</v>
      </c>
      <c r="AK93" s="12">
        <f>Weights!$E$12*Index!E93/P93</f>
        <v>0.18464762503992624</v>
      </c>
      <c r="AL93" s="12">
        <f>Weights!$E$13*Index!F93/Q93</f>
        <v>0.32026870326077078</v>
      </c>
      <c r="AM93" s="12">
        <f>Weights!$E$14*Index!G93/R93</f>
        <v>0</v>
      </c>
      <c r="AN93" s="12">
        <f>Weights!$E$15*Index!H93/S93</f>
        <v>0.21026468717360738</v>
      </c>
      <c r="AO93" s="12">
        <f>Weights!$E$16*Index!I93/T93</f>
        <v>0</v>
      </c>
      <c r="AP93" s="12">
        <f>Weights!$E$17*Index!J93/U93</f>
        <v>0.25</v>
      </c>
      <c r="AQ93" s="45">
        <f t="shared" si="44"/>
        <v>99.693325635052148</v>
      </c>
    </row>
    <row r="94" spans="1:43" x14ac:dyDescent="0.25">
      <c r="A94" s="8">
        <v>46114</v>
      </c>
      <c r="B94" s="22">
        <v>115.2868</v>
      </c>
      <c r="C94" s="22">
        <v>138.49</v>
      </c>
      <c r="D94" s="22">
        <v>158.86613299999999</v>
      </c>
      <c r="E94" s="22">
        <v>128.57825</v>
      </c>
      <c r="F94" s="22">
        <v>18123.68</v>
      </c>
      <c r="G94" s="22">
        <v>340.16</v>
      </c>
      <c r="H94" s="22">
        <v>2565.42</v>
      </c>
      <c r="I94" s="22">
        <v>584.75</v>
      </c>
      <c r="J94" s="22">
        <v>393.36</v>
      </c>
      <c r="K94" s="9" t="str">
        <f t="shared" si="41"/>
        <v/>
      </c>
      <c r="L94" s="10">
        <f t="shared" si="42"/>
        <v>92</v>
      </c>
      <c r="M94" s="27">
        <f t="shared" si="30"/>
        <v>115.2873</v>
      </c>
      <c r="N94" s="14">
        <f t="shared" si="31"/>
        <v>138.72</v>
      </c>
      <c r="O94" s="14">
        <f t="shared" si="32"/>
        <v>158.58182600000001</v>
      </c>
      <c r="P94" s="14">
        <f t="shared" si="33"/>
        <v>128.88927799999999</v>
      </c>
      <c r="Q94" s="14">
        <f t="shared" si="34"/>
        <v>17835.66</v>
      </c>
      <c r="R94" s="14">
        <f t="shared" si="35"/>
        <v>336.24</v>
      </c>
      <c r="S94" s="14">
        <f t="shared" si="36"/>
        <v>2546.7800000000002</v>
      </c>
      <c r="T94" s="14">
        <f t="shared" si="37"/>
        <v>575.76</v>
      </c>
      <c r="U94" s="14">
        <f t="shared" si="38"/>
        <v>393.36</v>
      </c>
      <c r="V94" s="36">
        <f t="shared" si="39"/>
        <v>99.045220753728984</v>
      </c>
      <c r="W94" s="13">
        <f>Weights!$B$9*Index!B94/Index!M94</f>
        <v>2.9999869890265447E-2</v>
      </c>
      <c r="X94" s="13">
        <f>Weights!$B$10*Index!C94/Index!N94</f>
        <v>0.24958549596309113</v>
      </c>
      <c r="Y94" s="13">
        <f>Weights!$B$11*Index!D94/Index!O94</f>
        <v>7.0125496663154832E-2</v>
      </c>
      <c r="Z94" s="13">
        <f>Weights!$B$12*Index!E94/Index!P94</f>
        <v>1.995173718018655E-2</v>
      </c>
      <c r="AA94" s="13">
        <f>Weights!$B$13*Index!F94/Index!Q94</f>
        <v>0.13209931115529228</v>
      </c>
      <c r="AB94" s="13">
        <f>Weights!$B$14*Index!G94/Index!R94</f>
        <v>0.20233166785629314</v>
      </c>
      <c r="AC94" s="13">
        <f>Weights!$B$15*Index!H94/Index!S94</f>
        <v>5.0365952300552075E-2</v>
      </c>
      <c r="AD94" s="13">
        <f>Weights!$B$16*Index!I94/Index!T94</f>
        <v>0</v>
      </c>
      <c r="AE94" s="13">
        <f>Weights!$B$17*Index!J94/Index!U94</f>
        <v>0.25</v>
      </c>
      <c r="AF94" s="20">
        <f t="shared" si="43"/>
        <v>99.486915986957186</v>
      </c>
      <c r="AG94" s="35">
        <f t="shared" si="40"/>
        <v>99.285524733630098</v>
      </c>
      <c r="AH94" s="12">
        <f>Weights!$E$9*Index!B94/M94</f>
        <v>1.8243164122458719E-2</v>
      </c>
      <c r="AI94" s="12">
        <f>Weights!$E$10*Index!C94/N94</f>
        <v>2.0641395071542133E-2</v>
      </c>
      <c r="AJ94" s="12">
        <f>Weights!$E$11*Index!D94/O94</f>
        <v>0</v>
      </c>
      <c r="AK94" s="12">
        <f>Weights!$E$12*Index!E94/P94</f>
        <v>0.18563204119673565</v>
      </c>
      <c r="AL94" s="12">
        <f>Weights!$E$13*Index!F94/Q94</f>
        <v>0.32008679241474658</v>
      </c>
      <c r="AM94" s="12">
        <f>Weights!$E$14*Index!G94/R94</f>
        <v>0</v>
      </c>
      <c r="AN94" s="12">
        <f>Weights!$E$15*Index!H94/S94</f>
        <v>0.21153699966231862</v>
      </c>
      <c r="AO94" s="12">
        <f>Weights!$E$16*Index!I94/T94</f>
        <v>0</v>
      </c>
      <c r="AP94" s="12">
        <f>Weights!$E$17*Index!J94/U94</f>
        <v>0.25</v>
      </c>
      <c r="AQ94" s="45">
        <f t="shared" si="44"/>
        <v>99.895176821866215</v>
      </c>
    </row>
    <row r="95" spans="1:43" x14ac:dyDescent="0.25">
      <c r="A95" s="8">
        <v>46115</v>
      </c>
      <c r="B95" s="22">
        <v>115.28660000000001</v>
      </c>
      <c r="C95" s="22">
        <v>138.49</v>
      </c>
      <c r="D95" s="22">
        <v>158.74840699999999</v>
      </c>
      <c r="E95" s="22">
        <v>128.48256599999999</v>
      </c>
      <c r="F95" s="22">
        <v>18123.68</v>
      </c>
      <c r="G95" s="22">
        <v>340.33</v>
      </c>
      <c r="H95" s="22">
        <v>2566.89</v>
      </c>
      <c r="I95" s="22">
        <v>584.75</v>
      </c>
      <c r="J95" s="22">
        <v>393.36</v>
      </c>
      <c r="K95" s="9" t="str">
        <f t="shared" si="41"/>
        <v/>
      </c>
      <c r="L95" s="10">
        <f t="shared" si="42"/>
        <v>92</v>
      </c>
      <c r="M95" s="27">
        <f t="shared" si="30"/>
        <v>115.2873</v>
      </c>
      <c r="N95" s="14">
        <f t="shared" si="31"/>
        <v>138.72</v>
      </c>
      <c r="O95" s="14">
        <f t="shared" si="32"/>
        <v>158.58182600000001</v>
      </c>
      <c r="P95" s="14">
        <f t="shared" si="33"/>
        <v>128.88927799999999</v>
      </c>
      <c r="Q95" s="14">
        <f t="shared" si="34"/>
        <v>17835.66</v>
      </c>
      <c r="R95" s="14">
        <f t="shared" si="35"/>
        <v>336.24</v>
      </c>
      <c r="S95" s="14">
        <f t="shared" si="36"/>
        <v>2546.7800000000002</v>
      </c>
      <c r="T95" s="14">
        <f t="shared" si="37"/>
        <v>575.76</v>
      </c>
      <c r="U95" s="14">
        <f t="shared" si="38"/>
        <v>393.36</v>
      </c>
      <c r="V95" s="36">
        <f t="shared" si="39"/>
        <v>99.045220753728984</v>
      </c>
      <c r="W95" s="13">
        <f>Weights!$B$9*Index!B95/Index!M95</f>
        <v>2.9999817846371631E-2</v>
      </c>
      <c r="X95" s="13">
        <f>Weights!$B$10*Index!C95/Index!N95</f>
        <v>0.24958549596309113</v>
      </c>
      <c r="Y95" s="13">
        <f>Weights!$B$11*Index!D95/Index!O95</f>
        <v>7.0073530935379699E-2</v>
      </c>
      <c r="Z95" s="13">
        <f>Weights!$B$12*Index!E95/Index!P95</f>
        <v>1.9936889707769176E-2</v>
      </c>
      <c r="AA95" s="13">
        <f>Weights!$B$13*Index!F95/Index!Q95</f>
        <v>0.13209931115529228</v>
      </c>
      <c r="AB95" s="13">
        <f>Weights!$B$14*Index!G95/Index!R95</f>
        <v>0.20243278610516299</v>
      </c>
      <c r="AC95" s="13">
        <f>Weights!$B$15*Index!H95/Index!S95</f>
        <v>5.0394812272752262E-2</v>
      </c>
      <c r="AD95" s="13">
        <f>Weights!$B$16*Index!I95/Index!T95</f>
        <v>0</v>
      </c>
      <c r="AE95" s="13">
        <f>Weights!$B$17*Index!J95/Index!U95</f>
        <v>0.25</v>
      </c>
      <c r="AF95" s="20">
        <f t="shared" si="43"/>
        <v>99.493167025694959</v>
      </c>
      <c r="AG95" s="35">
        <f t="shared" si="40"/>
        <v>99.285524733630098</v>
      </c>
      <c r="AH95" s="12">
        <f>Weights!$E$9*Index!B95/M95</f>
        <v>1.824313247414491E-2</v>
      </c>
      <c r="AI95" s="12">
        <f>Weights!$E$10*Index!C95/N95</f>
        <v>2.0641395071542133E-2</v>
      </c>
      <c r="AJ95" s="12">
        <f>Weights!$E$11*Index!D95/O95</f>
        <v>0</v>
      </c>
      <c r="AK95" s="12">
        <f>Weights!$E$12*Index!E95/P95</f>
        <v>0.18549389951079837</v>
      </c>
      <c r="AL95" s="12">
        <f>Weights!$E$13*Index!F95/Q95</f>
        <v>0.32008679241474658</v>
      </c>
      <c r="AM95" s="12">
        <f>Weights!$E$14*Index!G95/R95</f>
        <v>0</v>
      </c>
      <c r="AN95" s="12">
        <f>Weights!$E$15*Index!H95/S95</f>
        <v>0.21165821154555944</v>
      </c>
      <c r="AO95" s="12">
        <f>Weights!$E$16*Index!I95/T95</f>
        <v>0</v>
      </c>
      <c r="AP95" s="12">
        <f>Weights!$E$17*Index!J95/U95</f>
        <v>0.25</v>
      </c>
      <c r="AQ95" s="45">
        <f t="shared" si="44"/>
        <v>99.893492795302421</v>
      </c>
    </row>
    <row r="96" spans="1:43" x14ac:dyDescent="0.25">
      <c r="A96" s="8">
        <v>46116</v>
      </c>
      <c r="B96" s="22">
        <v>115.28660000000001</v>
      </c>
      <c r="C96" s="22">
        <v>138.49</v>
      </c>
      <c r="D96" s="22">
        <v>158.74840699999999</v>
      </c>
      <c r="E96" s="22">
        <v>128.48256599999999</v>
      </c>
      <c r="F96" s="22">
        <v>18123.68</v>
      </c>
      <c r="G96" s="22">
        <v>340.33</v>
      </c>
      <c r="H96" s="22">
        <v>2566.89</v>
      </c>
      <c r="I96" s="22">
        <v>584.75</v>
      </c>
      <c r="J96" s="22">
        <v>393.36</v>
      </c>
      <c r="K96" s="9" t="str">
        <f t="shared" si="41"/>
        <v/>
      </c>
      <c r="L96" s="10">
        <f t="shared" si="42"/>
        <v>92</v>
      </c>
      <c r="M96" s="27">
        <f t="shared" si="30"/>
        <v>115.2873</v>
      </c>
      <c r="N96" s="14">
        <f t="shared" si="31"/>
        <v>138.72</v>
      </c>
      <c r="O96" s="14">
        <f t="shared" si="32"/>
        <v>158.58182600000001</v>
      </c>
      <c r="P96" s="14">
        <f t="shared" si="33"/>
        <v>128.88927799999999</v>
      </c>
      <c r="Q96" s="14">
        <f t="shared" si="34"/>
        <v>17835.66</v>
      </c>
      <c r="R96" s="14">
        <f t="shared" si="35"/>
        <v>336.24</v>
      </c>
      <c r="S96" s="14">
        <f t="shared" si="36"/>
        <v>2546.7800000000002</v>
      </c>
      <c r="T96" s="14">
        <f t="shared" si="37"/>
        <v>575.76</v>
      </c>
      <c r="U96" s="14">
        <f t="shared" si="38"/>
        <v>393.36</v>
      </c>
      <c r="V96" s="36">
        <f t="shared" si="39"/>
        <v>99.045220753728984</v>
      </c>
      <c r="W96" s="13">
        <f>Weights!$B$9*Index!B96/Index!M96</f>
        <v>2.9999817846371631E-2</v>
      </c>
      <c r="X96" s="13">
        <f>Weights!$B$10*Index!C96/Index!N96</f>
        <v>0.24958549596309113</v>
      </c>
      <c r="Y96" s="13">
        <f>Weights!$B$11*Index!D96/Index!O96</f>
        <v>7.0073530935379699E-2</v>
      </c>
      <c r="Z96" s="13">
        <f>Weights!$B$12*Index!E96/Index!P96</f>
        <v>1.9936889707769176E-2</v>
      </c>
      <c r="AA96" s="13">
        <f>Weights!$B$13*Index!F96/Index!Q96</f>
        <v>0.13209931115529228</v>
      </c>
      <c r="AB96" s="13">
        <f>Weights!$B$14*Index!G96/Index!R96</f>
        <v>0.20243278610516299</v>
      </c>
      <c r="AC96" s="13">
        <f>Weights!$B$15*Index!H96/Index!S96</f>
        <v>5.0394812272752262E-2</v>
      </c>
      <c r="AD96" s="13">
        <f>Weights!$B$16*Index!I96/Index!T96</f>
        <v>0</v>
      </c>
      <c r="AE96" s="13">
        <f>Weights!$B$17*Index!J96/Index!U96</f>
        <v>0.25</v>
      </c>
      <c r="AF96" s="20">
        <f t="shared" si="43"/>
        <v>99.493167025694959</v>
      </c>
      <c r="AG96" s="35">
        <f t="shared" si="40"/>
        <v>99.285524733630098</v>
      </c>
      <c r="AH96" s="12">
        <f>Weights!$E$9*Index!B96/M96</f>
        <v>1.824313247414491E-2</v>
      </c>
      <c r="AI96" s="12">
        <f>Weights!$E$10*Index!C96/N96</f>
        <v>2.0641395071542133E-2</v>
      </c>
      <c r="AJ96" s="12">
        <f>Weights!$E$11*Index!D96/O96</f>
        <v>0</v>
      </c>
      <c r="AK96" s="12">
        <f>Weights!$E$12*Index!E96/P96</f>
        <v>0.18549389951079837</v>
      </c>
      <c r="AL96" s="12">
        <f>Weights!$E$13*Index!F96/Q96</f>
        <v>0.32008679241474658</v>
      </c>
      <c r="AM96" s="12">
        <f>Weights!$E$14*Index!G96/R96</f>
        <v>0</v>
      </c>
      <c r="AN96" s="12">
        <f>Weights!$E$15*Index!H96/S96</f>
        <v>0.21165821154555944</v>
      </c>
      <c r="AO96" s="12">
        <f>Weights!$E$16*Index!I96/T96</f>
        <v>0</v>
      </c>
      <c r="AP96" s="12">
        <f>Weights!$E$17*Index!J96/U96</f>
        <v>0.25</v>
      </c>
      <c r="AQ96" s="45">
        <f t="shared" si="44"/>
        <v>99.893492795302421</v>
      </c>
    </row>
    <row r="97" spans="1:43" x14ac:dyDescent="0.25">
      <c r="A97" s="8">
        <v>46117</v>
      </c>
      <c r="B97" s="22">
        <v>115.28660000000001</v>
      </c>
      <c r="C97" s="22">
        <v>138.49</v>
      </c>
      <c r="D97" s="22">
        <v>158.74840699999999</v>
      </c>
      <c r="E97" s="22">
        <v>128.48256599999999</v>
      </c>
      <c r="F97" s="22">
        <v>18123.68</v>
      </c>
      <c r="G97" s="22">
        <v>340.33</v>
      </c>
      <c r="H97" s="22">
        <v>2566.89</v>
      </c>
      <c r="I97" s="22">
        <v>584.75</v>
      </c>
      <c r="J97" s="22">
        <v>393.36</v>
      </c>
      <c r="K97" s="9" t="str">
        <f t="shared" si="41"/>
        <v/>
      </c>
      <c r="L97" s="10">
        <f t="shared" si="42"/>
        <v>92</v>
      </c>
      <c r="M97" s="27">
        <f t="shared" si="30"/>
        <v>115.2873</v>
      </c>
      <c r="N97" s="14">
        <f t="shared" si="31"/>
        <v>138.72</v>
      </c>
      <c r="O97" s="14">
        <f t="shared" si="32"/>
        <v>158.58182600000001</v>
      </c>
      <c r="P97" s="14">
        <f t="shared" si="33"/>
        <v>128.88927799999999</v>
      </c>
      <c r="Q97" s="14">
        <f t="shared" si="34"/>
        <v>17835.66</v>
      </c>
      <c r="R97" s="14">
        <f t="shared" si="35"/>
        <v>336.24</v>
      </c>
      <c r="S97" s="14">
        <f t="shared" si="36"/>
        <v>2546.7800000000002</v>
      </c>
      <c r="T97" s="14">
        <f t="shared" si="37"/>
        <v>575.76</v>
      </c>
      <c r="U97" s="14">
        <f t="shared" si="38"/>
        <v>393.36</v>
      </c>
      <c r="V97" s="36">
        <f t="shared" si="39"/>
        <v>99.045220753728984</v>
      </c>
      <c r="W97" s="13">
        <f>Weights!$B$9*Index!B97/Index!M97</f>
        <v>2.9999817846371631E-2</v>
      </c>
      <c r="X97" s="13">
        <f>Weights!$B$10*Index!C97/Index!N97</f>
        <v>0.24958549596309113</v>
      </c>
      <c r="Y97" s="13">
        <f>Weights!$B$11*Index!D97/Index!O97</f>
        <v>7.0073530935379699E-2</v>
      </c>
      <c r="Z97" s="13">
        <f>Weights!$B$12*Index!E97/Index!P97</f>
        <v>1.9936889707769176E-2</v>
      </c>
      <c r="AA97" s="13">
        <f>Weights!$B$13*Index!F97/Index!Q97</f>
        <v>0.13209931115529228</v>
      </c>
      <c r="AB97" s="13">
        <f>Weights!$B$14*Index!G97/Index!R97</f>
        <v>0.20243278610516299</v>
      </c>
      <c r="AC97" s="13">
        <f>Weights!$B$15*Index!H97/Index!S97</f>
        <v>5.0394812272752262E-2</v>
      </c>
      <c r="AD97" s="13">
        <f>Weights!$B$16*Index!I97/Index!T97</f>
        <v>0</v>
      </c>
      <c r="AE97" s="13">
        <f>Weights!$B$17*Index!J97/Index!U97</f>
        <v>0.25</v>
      </c>
      <c r="AF97" s="20">
        <f t="shared" si="43"/>
        <v>99.493167025694959</v>
      </c>
      <c r="AG97" s="35">
        <f t="shared" si="40"/>
        <v>99.285524733630098</v>
      </c>
      <c r="AH97" s="12">
        <f>Weights!$E$9*Index!B97/M97</f>
        <v>1.824313247414491E-2</v>
      </c>
      <c r="AI97" s="12">
        <f>Weights!$E$10*Index!C97/N97</f>
        <v>2.0641395071542133E-2</v>
      </c>
      <c r="AJ97" s="12">
        <f>Weights!$E$11*Index!D97/O97</f>
        <v>0</v>
      </c>
      <c r="AK97" s="12">
        <f>Weights!$E$12*Index!E97/P97</f>
        <v>0.18549389951079837</v>
      </c>
      <c r="AL97" s="12">
        <f>Weights!$E$13*Index!F97/Q97</f>
        <v>0.32008679241474658</v>
      </c>
      <c r="AM97" s="12">
        <f>Weights!$E$14*Index!G97/R97</f>
        <v>0</v>
      </c>
      <c r="AN97" s="12">
        <f>Weights!$E$15*Index!H97/S97</f>
        <v>0.21165821154555944</v>
      </c>
      <c r="AO97" s="12">
        <f>Weights!$E$16*Index!I97/T97</f>
        <v>0</v>
      </c>
      <c r="AP97" s="12">
        <f>Weights!$E$17*Index!J97/U97</f>
        <v>0.25</v>
      </c>
      <c r="AQ97" s="45">
        <f t="shared" si="44"/>
        <v>99.893492795302421</v>
      </c>
    </row>
    <row r="98" spans="1:43" x14ac:dyDescent="0.25">
      <c r="A98" s="8">
        <v>46118</v>
      </c>
      <c r="B98" s="22">
        <v>115.28579999999999</v>
      </c>
      <c r="C98" s="22">
        <v>138.49</v>
      </c>
      <c r="D98" s="22">
        <v>158.741816</v>
      </c>
      <c r="E98" s="22">
        <v>128.33605900000001</v>
      </c>
      <c r="F98" s="22">
        <v>18123.68</v>
      </c>
      <c r="G98" s="22">
        <v>341.37</v>
      </c>
      <c r="H98" s="22">
        <v>2571.7600000000002</v>
      </c>
      <c r="I98" s="22">
        <v>584.75</v>
      </c>
      <c r="J98" s="22">
        <v>393.36</v>
      </c>
      <c r="K98" s="9" t="str">
        <f t="shared" si="41"/>
        <v/>
      </c>
      <c r="L98" s="10">
        <f t="shared" si="42"/>
        <v>92</v>
      </c>
      <c r="M98" s="27">
        <f t="shared" si="30"/>
        <v>115.2873</v>
      </c>
      <c r="N98" s="14">
        <f t="shared" si="31"/>
        <v>138.72</v>
      </c>
      <c r="O98" s="14">
        <f t="shared" si="32"/>
        <v>158.58182600000001</v>
      </c>
      <c r="P98" s="14">
        <f t="shared" si="33"/>
        <v>128.88927799999999</v>
      </c>
      <c r="Q98" s="14">
        <f t="shared" si="34"/>
        <v>17835.66</v>
      </c>
      <c r="R98" s="14">
        <f t="shared" si="35"/>
        <v>336.24</v>
      </c>
      <c r="S98" s="14">
        <f t="shared" si="36"/>
        <v>2546.7800000000002</v>
      </c>
      <c r="T98" s="14">
        <f t="shared" si="37"/>
        <v>575.76</v>
      </c>
      <c r="U98" s="14">
        <f t="shared" si="38"/>
        <v>393.36</v>
      </c>
      <c r="V98" s="36">
        <f t="shared" si="39"/>
        <v>99.045220753728984</v>
      </c>
      <c r="W98" s="13">
        <f>Weights!$B$9*Index!B98/Index!M98</f>
        <v>2.9999609670796346E-2</v>
      </c>
      <c r="X98" s="13">
        <f>Weights!$B$10*Index!C98/Index!N98</f>
        <v>0.24958549596309113</v>
      </c>
      <c r="Y98" s="13">
        <f>Weights!$B$11*Index!D98/Index!O98</f>
        <v>7.0070621585603385E-2</v>
      </c>
      <c r="Z98" s="13">
        <f>Weights!$B$12*Index!E98/Index!P98</f>
        <v>1.9914155931574078E-2</v>
      </c>
      <c r="AA98" s="13">
        <f>Weights!$B$13*Index!F98/Index!Q98</f>
        <v>0.13209931115529228</v>
      </c>
      <c r="AB98" s="13">
        <f>Weights!$B$14*Index!G98/Index!R98</f>
        <v>0.20305139186295504</v>
      </c>
      <c r="AC98" s="13">
        <f>Weights!$B$15*Index!H98/Index!S98</f>
        <v>5.0490423201061736E-2</v>
      </c>
      <c r="AD98" s="13">
        <f>Weights!$B$16*Index!I98/Index!T98</f>
        <v>0</v>
      </c>
      <c r="AE98" s="13">
        <f>Weights!$B$17*Index!J98/Index!U98</f>
        <v>0.25</v>
      </c>
      <c r="AF98" s="20">
        <f t="shared" si="43"/>
        <v>99.561346327167442</v>
      </c>
      <c r="AG98" s="35">
        <f t="shared" si="40"/>
        <v>99.285524733630098</v>
      </c>
      <c r="AH98" s="12">
        <f>Weights!$E$9*Index!B98/M98</f>
        <v>1.8243005880889673E-2</v>
      </c>
      <c r="AI98" s="12">
        <f>Weights!$E$10*Index!C98/N98</f>
        <v>2.0641395071542133E-2</v>
      </c>
      <c r="AJ98" s="12">
        <f>Weights!$E$11*Index!D98/O98</f>
        <v>0</v>
      </c>
      <c r="AK98" s="12">
        <f>Weights!$E$12*Index!E98/P98</f>
        <v>0.1852823832282264</v>
      </c>
      <c r="AL98" s="12">
        <f>Weights!$E$13*Index!F98/Q98</f>
        <v>0.32008679241474658</v>
      </c>
      <c r="AM98" s="12">
        <f>Weights!$E$14*Index!G98/R98</f>
        <v>0</v>
      </c>
      <c r="AN98" s="12">
        <f>Weights!$E$15*Index!H98/S98</f>
        <v>0.21205977744445922</v>
      </c>
      <c r="AO98" s="12">
        <f>Weights!$E$16*Index!I98/T98</f>
        <v>0</v>
      </c>
      <c r="AP98" s="12">
        <f>Weights!$E$17*Index!J98/U98</f>
        <v>0.25</v>
      </c>
      <c r="AQ98" s="45">
        <f t="shared" si="44"/>
        <v>99.912349402307186</v>
      </c>
    </row>
    <row r="99" spans="1:43" x14ac:dyDescent="0.25">
      <c r="A99" s="8">
        <v>46119</v>
      </c>
      <c r="B99" s="22">
        <v>115.2855</v>
      </c>
      <c r="C99" s="22">
        <v>138.04</v>
      </c>
      <c r="D99" s="22">
        <v>158.523267</v>
      </c>
      <c r="E99" s="22">
        <v>128.65217100000001</v>
      </c>
      <c r="F99" s="22">
        <v>17855.12</v>
      </c>
      <c r="G99" s="22">
        <v>341.39</v>
      </c>
      <c r="H99" s="22">
        <v>2577.81</v>
      </c>
      <c r="I99" s="22">
        <v>591.42999999999995</v>
      </c>
      <c r="J99" s="22">
        <v>393.36</v>
      </c>
      <c r="K99" s="9" t="str">
        <f t="shared" si="41"/>
        <v/>
      </c>
      <c r="L99" s="10">
        <f t="shared" si="42"/>
        <v>92</v>
      </c>
      <c r="M99" s="27">
        <f t="shared" ref="M99:M122" si="45">INDEX(B:B,L99)</f>
        <v>115.2873</v>
      </c>
      <c r="N99" s="14">
        <f t="shared" ref="N99:N122" si="46">INDEX(C:C,$L99)</f>
        <v>138.72</v>
      </c>
      <c r="O99" s="14">
        <f t="shared" ref="O99:O122" si="47">INDEX(D:D,$L99)</f>
        <v>158.58182600000001</v>
      </c>
      <c r="P99" s="14">
        <f t="shared" ref="P99:P122" si="48">INDEX(E:E,$L99)</f>
        <v>128.88927799999999</v>
      </c>
      <c r="Q99" s="14">
        <f t="shared" ref="Q99:Q122" si="49">INDEX(F:F,$L99)</f>
        <v>17835.66</v>
      </c>
      <c r="R99" s="14">
        <f t="shared" ref="R99:R122" si="50">INDEX(G:G,$L99)</f>
        <v>336.24</v>
      </c>
      <c r="S99" s="14">
        <f t="shared" ref="S99:S122" si="51">INDEX(H:H,$L99)</f>
        <v>2546.7800000000002</v>
      </c>
      <c r="T99" s="14">
        <f t="shared" ref="T99:T122" si="52">INDEX(I:I,$L99)</f>
        <v>575.76</v>
      </c>
      <c r="U99" s="14">
        <f t="shared" ref="U99:U122" si="53">INDEX(J:J,$L99)</f>
        <v>393.36</v>
      </c>
      <c r="V99" s="36">
        <f t="shared" ref="V99:V122" si="54">INDEX(AF:AF,L99)</f>
        <v>99.045220753728984</v>
      </c>
      <c r="W99" s="13">
        <f>Weights!$B$9*Index!B99/Index!M99</f>
        <v>2.9999531604955616E-2</v>
      </c>
      <c r="X99" s="13">
        <f>Weights!$B$10*Index!C99/Index!N99</f>
        <v>0.24877450980392155</v>
      </c>
      <c r="Y99" s="13">
        <f>Weights!$B$11*Index!D99/Index!O99</f>
        <v>6.9974151325511921E-2</v>
      </c>
      <c r="Z99" s="13">
        <f>Weights!$B$12*Index!E99/Index!P99</f>
        <v>1.9963207645557611E-2</v>
      </c>
      <c r="AA99" s="13">
        <f>Weights!$B$13*Index!F99/Index!Q99</f>
        <v>0.13014183943851809</v>
      </c>
      <c r="AB99" s="13">
        <f>Weights!$B$14*Index!G99/Index!R99</f>
        <v>0.20306328812752797</v>
      </c>
      <c r="AC99" s="13">
        <f>Weights!$B$15*Index!H99/Index!S99</f>
        <v>5.0609200637667953E-2</v>
      </c>
      <c r="AD99" s="13">
        <f>Weights!$B$16*Index!I99/Index!T99</f>
        <v>0</v>
      </c>
      <c r="AE99" s="13">
        <f>Weights!$B$17*Index!J99/Index!U99</f>
        <v>0.25</v>
      </c>
      <c r="AF99" s="20">
        <f t="shared" si="43"/>
        <v>99.29538209886168</v>
      </c>
      <c r="AG99" s="35">
        <f t="shared" ref="AG99:AG122" si="55">INDEX(AQ:AQ,L99)</f>
        <v>99.285524733630098</v>
      </c>
      <c r="AH99" s="12">
        <f>Weights!$E$9*Index!B99/M99</f>
        <v>1.8242958408418958E-2</v>
      </c>
      <c r="AI99" s="12">
        <f>Weights!$E$10*Index!C99/N99</f>
        <v>2.0574324324324326E-2</v>
      </c>
      <c r="AJ99" s="12">
        <f>Weights!$E$11*Index!D99/O99</f>
        <v>0</v>
      </c>
      <c r="AK99" s="12">
        <f>Weights!$E$12*Index!E99/P99</f>
        <v>0.18573876302657322</v>
      </c>
      <c r="AL99" s="12">
        <f>Weights!$E$13*Index!F99/Q99</f>
        <v>0.31534368787025535</v>
      </c>
      <c r="AM99" s="12">
        <f>Weights!$E$14*Index!G99/R99</f>
        <v>0</v>
      </c>
      <c r="AN99" s="12">
        <f>Weights!$E$15*Index!H99/S99</f>
        <v>0.21255864267820537</v>
      </c>
      <c r="AO99" s="12">
        <f>Weights!$E$16*Index!I99/T99</f>
        <v>0</v>
      </c>
      <c r="AP99" s="12">
        <f>Weights!$E$17*Index!J99/U99</f>
        <v>0.25</v>
      </c>
      <c r="AQ99" s="45">
        <f t="shared" si="44"/>
        <v>99.529605915340483</v>
      </c>
    </row>
    <row r="100" spans="1:43" x14ac:dyDescent="0.25">
      <c r="A100" s="8">
        <v>46120</v>
      </c>
      <c r="B100" s="22">
        <v>115.28530000000001</v>
      </c>
      <c r="C100" s="22">
        <v>138.62</v>
      </c>
      <c r="D100" s="22">
        <v>159.389735</v>
      </c>
      <c r="E100" s="22">
        <v>128.21921</v>
      </c>
      <c r="F100" s="22">
        <v>18318.689999999999</v>
      </c>
      <c r="G100" s="22">
        <v>350.2</v>
      </c>
      <c r="H100" s="22">
        <v>2617.3200000000002</v>
      </c>
      <c r="I100" s="22">
        <v>602.55999999999995</v>
      </c>
      <c r="J100" s="22">
        <v>393.36</v>
      </c>
      <c r="K100" s="9" t="str">
        <f t="shared" si="41"/>
        <v/>
      </c>
      <c r="L100" s="10">
        <f t="shared" si="42"/>
        <v>92</v>
      </c>
      <c r="M100" s="27">
        <f t="shared" si="45"/>
        <v>115.2873</v>
      </c>
      <c r="N100" s="14">
        <f t="shared" si="46"/>
        <v>138.72</v>
      </c>
      <c r="O100" s="14">
        <f t="shared" si="47"/>
        <v>158.58182600000001</v>
      </c>
      <c r="P100" s="14">
        <f t="shared" si="48"/>
        <v>128.88927799999999</v>
      </c>
      <c r="Q100" s="14">
        <f t="shared" si="49"/>
        <v>17835.66</v>
      </c>
      <c r="R100" s="14">
        <f t="shared" si="50"/>
        <v>336.24</v>
      </c>
      <c r="S100" s="14">
        <f t="shared" si="51"/>
        <v>2546.7800000000002</v>
      </c>
      <c r="T100" s="14">
        <f t="shared" si="52"/>
        <v>575.76</v>
      </c>
      <c r="U100" s="14">
        <f t="shared" si="53"/>
        <v>393.36</v>
      </c>
      <c r="V100" s="36">
        <f t="shared" si="54"/>
        <v>99.045220753728984</v>
      </c>
      <c r="W100" s="13">
        <f>Weights!$B$9*Index!B100/Index!M100</f>
        <v>2.99994795610618E-2</v>
      </c>
      <c r="X100" s="13">
        <f>Weights!$B$10*Index!C100/Index!N100</f>
        <v>0.24981978085351789</v>
      </c>
      <c r="Y100" s="13">
        <f>Weights!$B$11*Index!D100/Index!O100</f>
        <v>7.0356621130090918E-2</v>
      </c>
      <c r="Z100" s="13">
        <f>Weights!$B$12*Index!E100/Index!P100</f>
        <v>1.9896024244933704E-2</v>
      </c>
      <c r="AA100" s="13">
        <f>Weights!$B$13*Index!F100/Index!Q100</f>
        <v>0.13352069393563232</v>
      </c>
      <c r="AB100" s="13">
        <f>Weights!$B$14*Index!G100/Index!R100</f>
        <v>0.20830359267190104</v>
      </c>
      <c r="AC100" s="13">
        <f>Weights!$B$15*Index!H100/Index!S100</f>
        <v>5.138488601292613E-2</v>
      </c>
      <c r="AD100" s="13">
        <f>Weights!$B$16*Index!I100/Index!T100</f>
        <v>0</v>
      </c>
      <c r="AE100" s="13">
        <f>Weights!$B$17*Index!J100/Index!U100</f>
        <v>0.25</v>
      </c>
      <c r="AF100" s="20">
        <f t="shared" si="43"/>
        <v>100.36064809670134</v>
      </c>
      <c r="AG100" s="35">
        <f t="shared" si="55"/>
        <v>99.285524733630098</v>
      </c>
      <c r="AH100" s="12">
        <f>Weights!$E$9*Index!B100/M100</f>
        <v>1.8242926760105149E-2</v>
      </c>
      <c r="AI100" s="12">
        <f>Weights!$E$10*Index!C100/N100</f>
        <v>2.0660771065182829E-2</v>
      </c>
      <c r="AJ100" s="12">
        <f>Weights!$E$11*Index!D100/O100</f>
        <v>0</v>
      </c>
      <c r="AK100" s="12">
        <f>Weights!$E$12*Index!E100/P100</f>
        <v>0.18511368503563319</v>
      </c>
      <c r="AL100" s="12">
        <f>Weights!$E$13*Index!F100/Q100</f>
        <v>0.32353091222864749</v>
      </c>
      <c r="AM100" s="12">
        <f>Weights!$E$14*Index!G100/R100</f>
        <v>0</v>
      </c>
      <c r="AN100" s="12">
        <f>Weights!$E$15*Index!H100/S100</f>
        <v>0.21581652125428968</v>
      </c>
      <c r="AO100" s="12">
        <f>Weights!$E$16*Index!I100/T100</f>
        <v>0</v>
      </c>
      <c r="AP100" s="12">
        <f>Weights!$E$17*Index!J100/U100</f>
        <v>0.25</v>
      </c>
      <c r="AQ100" s="45">
        <f t="shared" si="44"/>
        <v>100.61245753729868</v>
      </c>
    </row>
    <row r="101" spans="1:43" x14ac:dyDescent="0.25">
      <c r="A101" s="8">
        <v>46121</v>
      </c>
      <c r="B101" s="22">
        <v>115.285</v>
      </c>
      <c r="C101" s="22">
        <v>138.32</v>
      </c>
      <c r="D101" s="22">
        <v>159.11787100000001</v>
      </c>
      <c r="E101" s="22">
        <v>128.198883</v>
      </c>
      <c r="F101" s="22">
        <v>18377.07</v>
      </c>
      <c r="G101" s="22">
        <v>351.36</v>
      </c>
      <c r="H101" s="22">
        <v>2631.35</v>
      </c>
      <c r="I101" s="22">
        <v>599.66999999999996</v>
      </c>
      <c r="J101" s="22">
        <v>393.36</v>
      </c>
      <c r="K101" s="9" t="str">
        <f t="shared" si="41"/>
        <v/>
      </c>
      <c r="L101" s="10">
        <f t="shared" si="42"/>
        <v>92</v>
      </c>
      <c r="M101" s="27">
        <f t="shared" si="45"/>
        <v>115.2873</v>
      </c>
      <c r="N101" s="14">
        <f t="shared" si="46"/>
        <v>138.72</v>
      </c>
      <c r="O101" s="14">
        <f t="shared" si="47"/>
        <v>158.58182600000001</v>
      </c>
      <c r="P101" s="14">
        <f t="shared" si="48"/>
        <v>128.88927799999999</v>
      </c>
      <c r="Q101" s="14">
        <f t="shared" si="49"/>
        <v>17835.66</v>
      </c>
      <c r="R101" s="14">
        <f t="shared" si="50"/>
        <v>336.24</v>
      </c>
      <c r="S101" s="14">
        <f t="shared" si="51"/>
        <v>2546.7800000000002</v>
      </c>
      <c r="T101" s="14">
        <f t="shared" si="52"/>
        <v>575.76</v>
      </c>
      <c r="U101" s="14">
        <f t="shared" si="53"/>
        <v>393.36</v>
      </c>
      <c r="V101" s="36">
        <f t="shared" si="54"/>
        <v>99.045220753728984</v>
      </c>
      <c r="W101" s="13">
        <f>Weights!$B$9*Index!B101/Index!M101</f>
        <v>2.9999401495221067E-2</v>
      </c>
      <c r="X101" s="13">
        <f>Weights!$B$10*Index!C101/Index!N101</f>
        <v>0.24927912341407149</v>
      </c>
      <c r="Y101" s="13">
        <f>Weights!$B$11*Index!D101/Index!O101</f>
        <v>7.0236616962652459E-2</v>
      </c>
      <c r="Z101" s="13">
        <f>Weights!$B$12*Index!E101/Index!P101</f>
        <v>1.989287006480089E-2</v>
      </c>
      <c r="AA101" s="13">
        <f>Weights!$B$13*Index!F101/Index!Q101</f>
        <v>0.13394621225118666</v>
      </c>
      <c r="AB101" s="13">
        <f>Weights!$B$14*Index!G101/Index!R101</f>
        <v>0.20899357601713064</v>
      </c>
      <c r="AC101" s="13">
        <f>Weights!$B$15*Index!H101/Index!S101</f>
        <v>5.1660331870047663E-2</v>
      </c>
      <c r="AD101" s="13">
        <f>Weights!$B$16*Index!I101/Index!T101</f>
        <v>0</v>
      </c>
      <c r="AE101" s="13">
        <f>Weights!$B$17*Index!J101/Index!U101</f>
        <v>0.25</v>
      </c>
      <c r="AF101" s="20">
        <f t="shared" si="43"/>
        <v>100.43265928745573</v>
      </c>
      <c r="AG101" s="35">
        <f t="shared" si="55"/>
        <v>99.285524733630098</v>
      </c>
      <c r="AH101" s="12">
        <f>Weights!$E$9*Index!B101/M101</f>
        <v>1.8242879287634434E-2</v>
      </c>
      <c r="AI101" s="12">
        <f>Weights!$E$10*Index!C101/N101</f>
        <v>2.0616057233704292E-2</v>
      </c>
      <c r="AJ101" s="12">
        <f>Weights!$E$11*Index!D101/O101</f>
        <v>0</v>
      </c>
      <c r="AK101" s="12">
        <f>Weights!$E$12*Index!E101/P101</f>
        <v>0.18508433837318128</v>
      </c>
      <c r="AL101" s="12">
        <f>Weights!$E$13*Index!F101/Q101</f>
        <v>0.32456197583941376</v>
      </c>
      <c r="AM101" s="12">
        <f>Weights!$E$14*Index!G101/R101</f>
        <v>0</v>
      </c>
      <c r="AN101" s="12">
        <f>Weights!$E$15*Index!H101/S101</f>
        <v>0.21697339385420011</v>
      </c>
      <c r="AO101" s="12">
        <f>Weights!$E$16*Index!I101/T101</f>
        <v>0</v>
      </c>
      <c r="AP101" s="12">
        <f>Weights!$E$17*Index!J101/U101</f>
        <v>0.25</v>
      </c>
      <c r="AQ101" s="45">
        <f t="shared" si="44"/>
        <v>100.82233008372833</v>
      </c>
    </row>
    <row r="102" spans="1:43" x14ac:dyDescent="0.25">
      <c r="A102" s="8">
        <v>46122</v>
      </c>
      <c r="B102" s="22">
        <v>115.2848</v>
      </c>
      <c r="C102" s="22">
        <v>138.15</v>
      </c>
      <c r="D102" s="22">
        <v>158.95537200000001</v>
      </c>
      <c r="E102" s="22">
        <v>128.026915</v>
      </c>
      <c r="F102" s="22">
        <v>18489.669999999998</v>
      </c>
      <c r="G102" s="22">
        <v>351.35</v>
      </c>
      <c r="H102" s="22">
        <v>2629.05</v>
      </c>
      <c r="I102" s="22">
        <v>603.41</v>
      </c>
      <c r="J102" s="22">
        <v>393.36</v>
      </c>
      <c r="K102" s="9" t="str">
        <f t="shared" si="41"/>
        <v/>
      </c>
      <c r="L102" s="10">
        <f t="shared" si="42"/>
        <v>92</v>
      </c>
      <c r="M102" s="27">
        <f t="shared" si="45"/>
        <v>115.2873</v>
      </c>
      <c r="N102" s="14">
        <f t="shared" si="46"/>
        <v>138.72</v>
      </c>
      <c r="O102" s="14">
        <f t="shared" si="47"/>
        <v>158.58182600000001</v>
      </c>
      <c r="P102" s="14">
        <f t="shared" si="48"/>
        <v>128.88927799999999</v>
      </c>
      <c r="Q102" s="14">
        <f t="shared" si="49"/>
        <v>17835.66</v>
      </c>
      <c r="R102" s="14">
        <f t="shared" si="50"/>
        <v>336.24</v>
      </c>
      <c r="S102" s="14">
        <f t="shared" si="51"/>
        <v>2546.7800000000002</v>
      </c>
      <c r="T102" s="14">
        <f t="shared" si="52"/>
        <v>575.76</v>
      </c>
      <c r="U102" s="14">
        <f t="shared" si="53"/>
        <v>393.36</v>
      </c>
      <c r="V102" s="36">
        <f t="shared" si="54"/>
        <v>99.045220753728984</v>
      </c>
      <c r="W102" s="13">
        <f>Weights!$B$9*Index!B102/Index!M102</f>
        <v>2.9999349451327248E-2</v>
      </c>
      <c r="X102" s="13">
        <f>Weights!$B$10*Index!C102/Index!N102</f>
        <v>0.24897275086505191</v>
      </c>
      <c r="Y102" s="13">
        <f>Weights!$B$11*Index!D102/Index!O102</f>
        <v>7.0164887873090845E-2</v>
      </c>
      <c r="Z102" s="13">
        <f>Weights!$B$12*Index!E102/Index!P102</f>
        <v>1.9866185455705634E-2</v>
      </c>
      <c r="AA102" s="13">
        <f>Weights!$B$13*Index!F102/Index!Q102</f>
        <v>0.13476692760458542</v>
      </c>
      <c r="AB102" s="13">
        <f>Weights!$B$14*Index!G102/Index!R102</f>
        <v>0.20898762788484418</v>
      </c>
      <c r="AC102" s="13">
        <f>Weights!$B$15*Index!H102/Index!S102</f>
        <v>5.1615176811503155E-2</v>
      </c>
      <c r="AD102" s="13">
        <f>Weights!$B$16*Index!I102/Index!T102</f>
        <v>0</v>
      </c>
      <c r="AE102" s="13">
        <f>Weights!$B$17*Index!J102/Index!U102</f>
        <v>0.25</v>
      </c>
      <c r="AF102" s="20">
        <f t="shared" si="43"/>
        <v>100.46878839603387</v>
      </c>
      <c r="AG102" s="35">
        <f t="shared" si="55"/>
        <v>99.285524733630098</v>
      </c>
      <c r="AH102" s="12">
        <f>Weights!$E$9*Index!B102/M102</f>
        <v>1.8242847639320624E-2</v>
      </c>
      <c r="AI102" s="12">
        <f>Weights!$E$10*Index!C102/N102</f>
        <v>2.0590719395866458E-2</v>
      </c>
      <c r="AJ102" s="12">
        <f>Weights!$E$11*Index!D102/O102</f>
        <v>0</v>
      </c>
      <c r="AK102" s="12">
        <f>Weights!$E$12*Index!E102/P102</f>
        <v>0.18483606332774771</v>
      </c>
      <c r="AL102" s="12">
        <f>Weights!$E$13*Index!F102/Q102</f>
        <v>0.32655063227264924</v>
      </c>
      <c r="AM102" s="12">
        <f>Weights!$E$14*Index!G102/R102</f>
        <v>0</v>
      </c>
      <c r="AN102" s="12">
        <f>Weights!$E$15*Index!H102/S102</f>
        <v>0.21678374260831318</v>
      </c>
      <c r="AO102" s="12">
        <f>Weights!$E$16*Index!I102/T102</f>
        <v>0</v>
      </c>
      <c r="AP102" s="12">
        <f>Weights!$E$17*Index!J102/U102</f>
        <v>0.25</v>
      </c>
      <c r="AQ102" s="45">
        <f t="shared" si="44"/>
        <v>100.97377631684384</v>
      </c>
    </row>
    <row r="103" spans="1:43" x14ac:dyDescent="0.25">
      <c r="A103" s="8">
        <v>46123</v>
      </c>
      <c r="B103" s="22">
        <v>115.2848</v>
      </c>
      <c r="C103" s="22">
        <v>138.15</v>
      </c>
      <c r="D103" s="22">
        <v>158.95537200000001</v>
      </c>
      <c r="E103" s="22">
        <v>128.026915</v>
      </c>
      <c r="F103" s="22">
        <v>18489.669999999998</v>
      </c>
      <c r="G103" s="22">
        <v>351.35</v>
      </c>
      <c r="H103" s="22">
        <v>2629.05</v>
      </c>
      <c r="I103" s="22">
        <v>603.41</v>
      </c>
      <c r="J103" s="22">
        <v>393.36</v>
      </c>
      <c r="K103" s="9" t="str">
        <f t="shared" si="41"/>
        <v/>
      </c>
      <c r="L103" s="10">
        <f t="shared" si="42"/>
        <v>92</v>
      </c>
      <c r="M103" s="27">
        <f t="shared" si="45"/>
        <v>115.2873</v>
      </c>
      <c r="N103" s="14">
        <f t="shared" si="46"/>
        <v>138.72</v>
      </c>
      <c r="O103" s="14">
        <f t="shared" si="47"/>
        <v>158.58182600000001</v>
      </c>
      <c r="P103" s="14">
        <f t="shared" si="48"/>
        <v>128.88927799999999</v>
      </c>
      <c r="Q103" s="14">
        <f t="shared" si="49"/>
        <v>17835.66</v>
      </c>
      <c r="R103" s="14">
        <f t="shared" si="50"/>
        <v>336.24</v>
      </c>
      <c r="S103" s="14">
        <f t="shared" si="51"/>
        <v>2546.7800000000002</v>
      </c>
      <c r="T103" s="14">
        <f t="shared" si="52"/>
        <v>575.76</v>
      </c>
      <c r="U103" s="14">
        <f t="shared" si="53"/>
        <v>393.36</v>
      </c>
      <c r="V103" s="36">
        <f t="shared" si="54"/>
        <v>99.045220753728984</v>
      </c>
      <c r="W103" s="13">
        <f>Weights!$B$9*Index!B103/Index!M103</f>
        <v>2.9999349451327248E-2</v>
      </c>
      <c r="X103" s="13">
        <f>Weights!$B$10*Index!C103/Index!N103</f>
        <v>0.24897275086505191</v>
      </c>
      <c r="Y103" s="13">
        <f>Weights!$B$11*Index!D103/Index!O103</f>
        <v>7.0164887873090845E-2</v>
      </c>
      <c r="Z103" s="13">
        <f>Weights!$B$12*Index!E103/Index!P103</f>
        <v>1.9866185455705634E-2</v>
      </c>
      <c r="AA103" s="13">
        <f>Weights!$B$13*Index!F103/Index!Q103</f>
        <v>0.13476692760458542</v>
      </c>
      <c r="AB103" s="13">
        <f>Weights!$B$14*Index!G103/Index!R103</f>
        <v>0.20898762788484418</v>
      </c>
      <c r="AC103" s="13">
        <f>Weights!$B$15*Index!H103/Index!S103</f>
        <v>5.1615176811503155E-2</v>
      </c>
      <c r="AD103" s="13">
        <f>Weights!$B$16*Index!I103/Index!T103</f>
        <v>0</v>
      </c>
      <c r="AE103" s="13">
        <f>Weights!$B$17*Index!J103/Index!U103</f>
        <v>0.25</v>
      </c>
      <c r="AF103" s="20">
        <f t="shared" si="43"/>
        <v>100.46878839603387</v>
      </c>
      <c r="AG103" s="35">
        <f t="shared" si="55"/>
        <v>99.285524733630098</v>
      </c>
      <c r="AH103" s="12">
        <f>Weights!$E$9*Index!B103/M103</f>
        <v>1.8242847639320624E-2</v>
      </c>
      <c r="AI103" s="12">
        <f>Weights!$E$10*Index!C103/N103</f>
        <v>2.0590719395866458E-2</v>
      </c>
      <c r="AJ103" s="12">
        <f>Weights!$E$11*Index!D103/O103</f>
        <v>0</v>
      </c>
      <c r="AK103" s="12">
        <f>Weights!$E$12*Index!E103/P103</f>
        <v>0.18483606332774771</v>
      </c>
      <c r="AL103" s="12">
        <f>Weights!$E$13*Index!F103/Q103</f>
        <v>0.32655063227264924</v>
      </c>
      <c r="AM103" s="12">
        <f>Weights!$E$14*Index!G103/R103</f>
        <v>0</v>
      </c>
      <c r="AN103" s="12">
        <f>Weights!$E$15*Index!H103/S103</f>
        <v>0.21678374260831318</v>
      </c>
      <c r="AO103" s="12">
        <f>Weights!$E$16*Index!I103/T103</f>
        <v>0</v>
      </c>
      <c r="AP103" s="12">
        <f>Weights!$E$17*Index!J103/U103</f>
        <v>0.25</v>
      </c>
      <c r="AQ103" s="45">
        <f t="shared" si="44"/>
        <v>100.97377631684384</v>
      </c>
    </row>
    <row r="104" spans="1:43" x14ac:dyDescent="0.25">
      <c r="A104" s="8">
        <v>46124</v>
      </c>
      <c r="B104" s="22">
        <v>115.2848</v>
      </c>
      <c r="C104" s="22">
        <v>138.15</v>
      </c>
      <c r="D104" s="22">
        <v>158.95537200000001</v>
      </c>
      <c r="E104" s="22">
        <v>128.026915</v>
      </c>
      <c r="F104" s="22">
        <v>18489.669999999998</v>
      </c>
      <c r="G104" s="22">
        <v>351.35</v>
      </c>
      <c r="H104" s="22">
        <v>2629.05</v>
      </c>
      <c r="I104" s="22">
        <v>603.41</v>
      </c>
      <c r="J104" s="22">
        <v>393.36</v>
      </c>
      <c r="K104" s="9" t="str">
        <f t="shared" si="41"/>
        <v/>
      </c>
      <c r="L104" s="10">
        <f t="shared" si="42"/>
        <v>92</v>
      </c>
      <c r="M104" s="27">
        <f t="shared" si="45"/>
        <v>115.2873</v>
      </c>
      <c r="N104" s="14">
        <f t="shared" si="46"/>
        <v>138.72</v>
      </c>
      <c r="O104" s="14">
        <f t="shared" si="47"/>
        <v>158.58182600000001</v>
      </c>
      <c r="P104" s="14">
        <f t="shared" si="48"/>
        <v>128.88927799999999</v>
      </c>
      <c r="Q104" s="14">
        <f t="shared" si="49"/>
        <v>17835.66</v>
      </c>
      <c r="R104" s="14">
        <f t="shared" si="50"/>
        <v>336.24</v>
      </c>
      <c r="S104" s="14">
        <f t="shared" si="51"/>
        <v>2546.7800000000002</v>
      </c>
      <c r="T104" s="14">
        <f t="shared" si="52"/>
        <v>575.76</v>
      </c>
      <c r="U104" s="14">
        <f t="shared" si="53"/>
        <v>393.36</v>
      </c>
      <c r="V104" s="36">
        <f t="shared" si="54"/>
        <v>99.045220753728984</v>
      </c>
      <c r="W104" s="13">
        <f>Weights!$B$9*Index!B104/Index!M104</f>
        <v>2.9999349451327248E-2</v>
      </c>
      <c r="X104" s="13">
        <f>Weights!$B$10*Index!C104/Index!N104</f>
        <v>0.24897275086505191</v>
      </c>
      <c r="Y104" s="13">
        <f>Weights!$B$11*Index!D104/Index!O104</f>
        <v>7.0164887873090845E-2</v>
      </c>
      <c r="Z104" s="13">
        <f>Weights!$B$12*Index!E104/Index!P104</f>
        <v>1.9866185455705634E-2</v>
      </c>
      <c r="AA104" s="13">
        <f>Weights!$B$13*Index!F104/Index!Q104</f>
        <v>0.13476692760458542</v>
      </c>
      <c r="AB104" s="13">
        <f>Weights!$B$14*Index!G104/Index!R104</f>
        <v>0.20898762788484418</v>
      </c>
      <c r="AC104" s="13">
        <f>Weights!$B$15*Index!H104/Index!S104</f>
        <v>5.1615176811503155E-2</v>
      </c>
      <c r="AD104" s="13">
        <f>Weights!$B$16*Index!I104/Index!T104</f>
        <v>0</v>
      </c>
      <c r="AE104" s="13">
        <f>Weights!$B$17*Index!J104/Index!U104</f>
        <v>0.25</v>
      </c>
      <c r="AF104" s="20">
        <f t="shared" si="43"/>
        <v>100.46878839603387</v>
      </c>
      <c r="AG104" s="35">
        <f t="shared" si="55"/>
        <v>99.285524733630098</v>
      </c>
      <c r="AH104" s="12">
        <f>Weights!$E$9*Index!B104/M104</f>
        <v>1.8242847639320624E-2</v>
      </c>
      <c r="AI104" s="12">
        <f>Weights!$E$10*Index!C104/N104</f>
        <v>2.0590719395866458E-2</v>
      </c>
      <c r="AJ104" s="12">
        <f>Weights!$E$11*Index!D104/O104</f>
        <v>0</v>
      </c>
      <c r="AK104" s="12">
        <f>Weights!$E$12*Index!E104/P104</f>
        <v>0.18483606332774771</v>
      </c>
      <c r="AL104" s="12">
        <f>Weights!$E$13*Index!F104/Q104</f>
        <v>0.32655063227264924</v>
      </c>
      <c r="AM104" s="12">
        <f>Weights!$E$14*Index!G104/R104</f>
        <v>0</v>
      </c>
      <c r="AN104" s="12">
        <f>Weights!$E$15*Index!H104/S104</f>
        <v>0.21678374260831318</v>
      </c>
      <c r="AO104" s="12">
        <f>Weights!$E$16*Index!I104/T104</f>
        <v>0</v>
      </c>
      <c r="AP104" s="12">
        <f>Weights!$E$17*Index!J104/U104</f>
        <v>0.25</v>
      </c>
      <c r="AQ104" s="45">
        <f t="shared" si="44"/>
        <v>100.97377631684384</v>
      </c>
    </row>
    <row r="105" spans="1:43" x14ac:dyDescent="0.25">
      <c r="A105" s="8">
        <v>46125</v>
      </c>
      <c r="B105" s="22">
        <v>115.28400000000001</v>
      </c>
      <c r="C105" s="22">
        <v>138.09</v>
      </c>
      <c r="D105" s="22">
        <v>158.899699</v>
      </c>
      <c r="E105" s="22">
        <v>127.684044</v>
      </c>
      <c r="F105" s="22">
        <v>18452.54</v>
      </c>
      <c r="G105" s="22">
        <v>353.67</v>
      </c>
      <c r="H105" s="22">
        <v>2641.44</v>
      </c>
      <c r="I105" s="22">
        <v>605.07000000000005</v>
      </c>
      <c r="J105" s="22">
        <v>393.36</v>
      </c>
      <c r="K105" s="9" t="str">
        <f t="shared" si="41"/>
        <v/>
      </c>
      <c r="L105" s="10">
        <f t="shared" si="42"/>
        <v>92</v>
      </c>
      <c r="M105" s="27">
        <f t="shared" si="45"/>
        <v>115.2873</v>
      </c>
      <c r="N105" s="14">
        <f t="shared" si="46"/>
        <v>138.72</v>
      </c>
      <c r="O105" s="14">
        <f t="shared" si="47"/>
        <v>158.58182600000001</v>
      </c>
      <c r="P105" s="14">
        <f t="shared" si="48"/>
        <v>128.88927799999999</v>
      </c>
      <c r="Q105" s="14">
        <f t="shared" si="49"/>
        <v>17835.66</v>
      </c>
      <c r="R105" s="14">
        <f t="shared" si="50"/>
        <v>336.24</v>
      </c>
      <c r="S105" s="14">
        <f t="shared" si="51"/>
        <v>2546.7800000000002</v>
      </c>
      <c r="T105" s="14">
        <f t="shared" si="52"/>
        <v>575.76</v>
      </c>
      <c r="U105" s="14">
        <f t="shared" si="53"/>
        <v>393.36</v>
      </c>
      <c r="V105" s="36">
        <f t="shared" si="54"/>
        <v>99.045220753728984</v>
      </c>
      <c r="W105" s="13">
        <f>Weights!$B$9*Index!B105/Index!M105</f>
        <v>2.999914127575197E-2</v>
      </c>
      <c r="X105" s="13">
        <f>Weights!$B$10*Index!C105/Index!N105</f>
        <v>0.24886461937716264</v>
      </c>
      <c r="Y105" s="13">
        <f>Weights!$B$11*Index!D105/Index!O105</f>
        <v>7.014031311507285E-2</v>
      </c>
      <c r="Z105" s="13">
        <f>Weights!$B$12*Index!E105/Index!P105</f>
        <v>1.98129814956369E-2</v>
      </c>
      <c r="AA105" s="13">
        <f>Weights!$B$13*Index!F105/Index!Q105</f>
        <v>0.13449629562348689</v>
      </c>
      <c r="AB105" s="13">
        <f>Weights!$B$14*Index!G105/Index!R105</f>
        <v>0.21036759457530338</v>
      </c>
      <c r="AC105" s="13">
        <f>Weights!$B$15*Index!H105/Index!S105</f>
        <v>5.185842514861904E-2</v>
      </c>
      <c r="AD105" s="13">
        <f>Weights!$B$16*Index!I105/Index!T105</f>
        <v>0</v>
      </c>
      <c r="AE105" s="13">
        <f>Weights!$B$17*Index!J105/Index!U105</f>
        <v>0.25</v>
      </c>
      <c r="AF105" s="20">
        <f t="shared" si="43"/>
        <v>100.58432114627284</v>
      </c>
      <c r="AG105" s="35">
        <f t="shared" si="55"/>
        <v>99.285524733630098</v>
      </c>
      <c r="AH105" s="12">
        <f>Weights!$E$9*Index!B105/M105</f>
        <v>1.8242721046065388E-2</v>
      </c>
      <c r="AI105" s="12">
        <f>Weights!$E$10*Index!C105/N105</f>
        <v>2.0581776629570746E-2</v>
      </c>
      <c r="AJ105" s="12">
        <f>Weights!$E$11*Index!D105/O105</f>
        <v>0</v>
      </c>
      <c r="AK105" s="12">
        <f>Weights!$E$12*Index!E105/P105</f>
        <v>0.18434105080737848</v>
      </c>
      <c r="AL105" s="12">
        <f>Weights!$E$13*Index!F105/Q105</f>
        <v>0.32589487016460278</v>
      </c>
      <c r="AM105" s="12">
        <f>Weights!$E$14*Index!G105/R105</f>
        <v>0</v>
      </c>
      <c r="AN105" s="12">
        <f>Weights!$E$15*Index!H105/S105</f>
        <v>0.2178053856241999</v>
      </c>
      <c r="AO105" s="12">
        <f>Weights!$E$16*Index!I105/T105</f>
        <v>0</v>
      </c>
      <c r="AP105" s="12">
        <f>Weights!$E$17*Index!J105/U105</f>
        <v>0.25</v>
      </c>
      <c r="AQ105" s="45">
        <f t="shared" si="44"/>
        <v>100.96005496081217</v>
      </c>
    </row>
    <row r="106" spans="1:43" x14ac:dyDescent="0.25">
      <c r="A106" s="8">
        <v>46126</v>
      </c>
      <c r="B106" s="22">
        <v>115.2838</v>
      </c>
      <c r="C106" s="22">
        <v>138.28</v>
      </c>
      <c r="D106" s="22">
        <v>159.35057599999999</v>
      </c>
      <c r="E106" s="22">
        <v>127.260144</v>
      </c>
      <c r="F106" s="22">
        <v>18650.43</v>
      </c>
      <c r="G106" s="22">
        <v>357.35</v>
      </c>
      <c r="H106" s="22">
        <v>2650.3</v>
      </c>
      <c r="I106" s="22">
        <v>615.91</v>
      </c>
      <c r="J106" s="22">
        <v>393.36</v>
      </c>
      <c r="K106" s="9" t="str">
        <f t="shared" si="41"/>
        <v/>
      </c>
      <c r="L106" s="10">
        <f t="shared" si="42"/>
        <v>92</v>
      </c>
      <c r="M106" s="27">
        <f t="shared" si="45"/>
        <v>115.2873</v>
      </c>
      <c r="N106" s="14">
        <f t="shared" si="46"/>
        <v>138.72</v>
      </c>
      <c r="O106" s="14">
        <f t="shared" si="47"/>
        <v>158.58182600000001</v>
      </c>
      <c r="P106" s="14">
        <f t="shared" si="48"/>
        <v>128.88927799999999</v>
      </c>
      <c r="Q106" s="14">
        <f t="shared" si="49"/>
        <v>17835.66</v>
      </c>
      <c r="R106" s="14">
        <f t="shared" si="50"/>
        <v>336.24</v>
      </c>
      <c r="S106" s="14">
        <f t="shared" si="51"/>
        <v>2546.7800000000002</v>
      </c>
      <c r="T106" s="14">
        <f t="shared" si="52"/>
        <v>575.76</v>
      </c>
      <c r="U106" s="14">
        <f t="shared" si="53"/>
        <v>393.36</v>
      </c>
      <c r="V106" s="36">
        <f t="shared" si="54"/>
        <v>99.045220753728984</v>
      </c>
      <c r="W106" s="13">
        <f>Weights!$B$9*Index!B106/Index!M106</f>
        <v>2.9999089231858147E-2</v>
      </c>
      <c r="X106" s="13">
        <f>Weights!$B$10*Index!C106/Index!N106</f>
        <v>0.24920703575547867</v>
      </c>
      <c r="Y106" s="13">
        <f>Weights!$B$11*Index!D106/Index!O106</f>
        <v>7.0339335858069896E-2</v>
      </c>
      <c r="Z106" s="13">
        <f>Weights!$B$12*Index!E106/Index!P106</f>
        <v>1.9747204108009671E-2</v>
      </c>
      <c r="AA106" s="13">
        <f>Weights!$B$13*Index!F106/Index!Q106</f>
        <v>0.13593867005762614</v>
      </c>
      <c r="AB106" s="13">
        <f>Weights!$B$14*Index!G106/Index!R106</f>
        <v>0.21255650725672143</v>
      </c>
      <c r="AC106" s="13">
        <f>Weights!$B$15*Index!H106/Index!S106</f>
        <v>5.2032370287186172E-2</v>
      </c>
      <c r="AD106" s="13">
        <f>Weights!$B$16*Index!I106/Index!T106</f>
        <v>0</v>
      </c>
      <c r="AE106" s="13">
        <f>Weights!$B$17*Index!J106/Index!U106</f>
        <v>0.25</v>
      </c>
      <c r="AF106" s="20">
        <f t="shared" si="43"/>
        <v>101.00831808161986</v>
      </c>
      <c r="AG106" s="35">
        <f t="shared" si="55"/>
        <v>99.285524733630098</v>
      </c>
      <c r="AH106" s="12">
        <f>Weights!$E$9*Index!B106/M106</f>
        <v>1.8242689397751578E-2</v>
      </c>
      <c r="AI106" s="12">
        <f>Weights!$E$10*Index!C106/N106</f>
        <v>2.0610095389507154E-2</v>
      </c>
      <c r="AJ106" s="12">
        <f>Weights!$E$11*Index!D106/O106</f>
        <v>0</v>
      </c>
      <c r="AK106" s="12">
        <f>Weights!$E$12*Index!E106/P106</f>
        <v>0.18372905443736023</v>
      </c>
      <c r="AL106" s="12">
        <f>Weights!$E$13*Index!F106/Q106</f>
        <v>0.32938985437040169</v>
      </c>
      <c r="AM106" s="12">
        <f>Weights!$E$14*Index!G106/R106</f>
        <v>0</v>
      </c>
      <c r="AN106" s="12">
        <f>Weights!$E$15*Index!H106/S106</f>
        <v>0.21853595520618191</v>
      </c>
      <c r="AO106" s="12">
        <f>Weights!$E$16*Index!I106/T106</f>
        <v>0</v>
      </c>
      <c r="AP106" s="12">
        <f>Weights!$E$17*Index!J106/U106</f>
        <v>0.25</v>
      </c>
      <c r="AQ106" s="45">
        <f t="shared" si="44"/>
        <v>101.32163740591049</v>
      </c>
    </row>
    <row r="107" spans="1:43" x14ac:dyDescent="0.25">
      <c r="A107" s="8">
        <v>46127</v>
      </c>
      <c r="B107" s="22">
        <v>115.2835</v>
      </c>
      <c r="C107" s="22">
        <v>138.33000000000001</v>
      </c>
      <c r="D107" s="22">
        <v>159.25614200000001</v>
      </c>
      <c r="E107" s="22">
        <v>127.433858</v>
      </c>
      <c r="F107" s="22">
        <v>18589.84</v>
      </c>
      <c r="G107" s="22">
        <v>359.38</v>
      </c>
      <c r="H107" s="22">
        <v>2670.46</v>
      </c>
      <c r="I107" s="22">
        <v>612.54999999999995</v>
      </c>
      <c r="J107" s="22">
        <v>393.36</v>
      </c>
      <c r="K107" s="9" t="str">
        <f t="shared" si="41"/>
        <v/>
      </c>
      <c r="L107" s="10">
        <f t="shared" si="42"/>
        <v>92</v>
      </c>
      <c r="M107" s="27">
        <f t="shared" si="45"/>
        <v>115.2873</v>
      </c>
      <c r="N107" s="14">
        <f t="shared" si="46"/>
        <v>138.72</v>
      </c>
      <c r="O107" s="14">
        <f t="shared" si="47"/>
        <v>158.58182600000001</v>
      </c>
      <c r="P107" s="14">
        <f t="shared" si="48"/>
        <v>128.88927799999999</v>
      </c>
      <c r="Q107" s="14">
        <f t="shared" si="49"/>
        <v>17835.66</v>
      </c>
      <c r="R107" s="14">
        <f t="shared" si="50"/>
        <v>336.24</v>
      </c>
      <c r="S107" s="14">
        <f t="shared" si="51"/>
        <v>2546.7800000000002</v>
      </c>
      <c r="T107" s="14">
        <f t="shared" si="52"/>
        <v>575.76</v>
      </c>
      <c r="U107" s="14">
        <f t="shared" si="53"/>
        <v>393.36</v>
      </c>
      <c r="V107" s="36">
        <f t="shared" si="54"/>
        <v>99.045220753728984</v>
      </c>
      <c r="W107" s="13">
        <f>Weights!$B$9*Index!B107/Index!M107</f>
        <v>2.9999011166017421E-2</v>
      </c>
      <c r="X107" s="13">
        <f>Weights!$B$10*Index!C107/Index!N107</f>
        <v>0.24929714532871974</v>
      </c>
      <c r="Y107" s="13">
        <f>Weights!$B$11*Index!D107/Index!O107</f>
        <v>7.0297651510205228E-2</v>
      </c>
      <c r="Z107" s="13">
        <f>Weights!$B$12*Index!E107/Index!P107</f>
        <v>1.9774159647321481E-2</v>
      </c>
      <c r="AA107" s="13">
        <f>Weights!$B$13*Index!F107/Index!Q107</f>
        <v>0.13549704356328837</v>
      </c>
      <c r="AB107" s="13">
        <f>Weights!$B$14*Index!G107/Index!R107</f>
        <v>0.21376397811087319</v>
      </c>
      <c r="AC107" s="13">
        <f>Weights!$B$15*Index!H107/Index!S107</f>
        <v>5.2428164191645914E-2</v>
      </c>
      <c r="AD107" s="13">
        <f>Weights!$B$16*Index!I107/Index!T107</f>
        <v>0</v>
      </c>
      <c r="AE107" s="13">
        <f>Weights!$B$17*Index!J107/Index!U107</f>
        <v>0.25</v>
      </c>
      <c r="AF107" s="20">
        <f t="shared" si="43"/>
        <v>101.13083117237153</v>
      </c>
      <c r="AG107" s="35">
        <f t="shared" si="55"/>
        <v>99.285524733630098</v>
      </c>
      <c r="AH107" s="12">
        <f>Weights!$E$9*Index!B107/M107</f>
        <v>1.8242641925280863E-2</v>
      </c>
      <c r="AI107" s="12">
        <f>Weights!$E$10*Index!C107/N107</f>
        <v>2.0617547694753581E-2</v>
      </c>
      <c r="AJ107" s="12">
        <f>Weights!$E$11*Index!D107/O107</f>
        <v>0</v>
      </c>
      <c r="AK107" s="12">
        <f>Weights!$E$12*Index!E107/P107</f>
        <v>0.18397985023217353</v>
      </c>
      <c r="AL107" s="12">
        <f>Weights!$E$13*Index!F107/Q107</f>
        <v>0.32831975940335256</v>
      </c>
      <c r="AM107" s="12">
        <f>Weights!$E$14*Index!G107/R107</f>
        <v>0</v>
      </c>
      <c r="AN107" s="12">
        <f>Weights!$E$15*Index!H107/S107</f>
        <v>0.22019828960491281</v>
      </c>
      <c r="AO107" s="12">
        <f>Weights!$E$16*Index!I107/T107</f>
        <v>0</v>
      </c>
      <c r="AP107" s="12">
        <f>Weights!$E$17*Index!J107/U107</f>
        <v>0.25</v>
      </c>
      <c r="AQ107" s="45">
        <f t="shared" si="44"/>
        <v>101.40607379344971</v>
      </c>
    </row>
    <row r="108" spans="1:43" x14ac:dyDescent="0.25">
      <c r="A108" s="8">
        <v>46128</v>
      </c>
      <c r="B108" s="22">
        <v>115.28319999999999</v>
      </c>
      <c r="C108" s="22">
        <v>138.38999999999999</v>
      </c>
      <c r="D108" s="22">
        <v>159.14858799999999</v>
      </c>
      <c r="E108" s="22">
        <v>127.631658</v>
      </c>
      <c r="F108" s="22">
        <v>18514.38</v>
      </c>
      <c r="G108" s="22">
        <v>360.24</v>
      </c>
      <c r="H108" s="22">
        <v>2682.96</v>
      </c>
      <c r="I108" s="22">
        <v>608.41</v>
      </c>
      <c r="J108" s="22">
        <v>393.36</v>
      </c>
      <c r="K108" s="9" t="str">
        <f t="shared" si="41"/>
        <v/>
      </c>
      <c r="L108" s="10">
        <f t="shared" si="42"/>
        <v>92</v>
      </c>
      <c r="M108" s="27">
        <f t="shared" si="45"/>
        <v>115.2873</v>
      </c>
      <c r="N108" s="14">
        <f t="shared" si="46"/>
        <v>138.72</v>
      </c>
      <c r="O108" s="14">
        <f t="shared" si="47"/>
        <v>158.58182600000001</v>
      </c>
      <c r="P108" s="14">
        <f t="shared" si="48"/>
        <v>128.88927799999999</v>
      </c>
      <c r="Q108" s="14">
        <f t="shared" si="49"/>
        <v>17835.66</v>
      </c>
      <c r="R108" s="14">
        <f t="shared" si="50"/>
        <v>336.24</v>
      </c>
      <c r="S108" s="14">
        <f t="shared" si="51"/>
        <v>2546.7800000000002</v>
      </c>
      <c r="T108" s="14">
        <f t="shared" si="52"/>
        <v>575.76</v>
      </c>
      <c r="U108" s="14">
        <f t="shared" si="53"/>
        <v>393.36</v>
      </c>
      <c r="V108" s="36">
        <f t="shared" si="54"/>
        <v>99.045220753728984</v>
      </c>
      <c r="W108" s="13">
        <f>Weights!$B$9*Index!B108/Index!M108</f>
        <v>2.9998933100176688E-2</v>
      </c>
      <c r="X108" s="13">
        <f>Weights!$B$10*Index!C108/Index!N108</f>
        <v>0.24940527681660898</v>
      </c>
      <c r="Y108" s="13">
        <f>Weights!$B$11*Index!D108/Index!O108</f>
        <v>7.0250175830362804E-2</v>
      </c>
      <c r="Z108" s="13">
        <f>Weights!$B$12*Index!E108/Index!P108</f>
        <v>1.9804852658108614E-2</v>
      </c>
      <c r="AA108" s="13">
        <f>Weights!$B$13*Index!F108/Index!Q108</f>
        <v>0.13494703307867498</v>
      </c>
      <c r="AB108" s="13">
        <f>Weights!$B$14*Index!G108/Index!R108</f>
        <v>0.21427551748750892</v>
      </c>
      <c r="AC108" s="13">
        <f>Weights!$B$15*Index!H108/Index!S108</f>
        <v>5.267357211851828E-2</v>
      </c>
      <c r="AD108" s="13">
        <f>Weights!$B$16*Index!I108/Index!T108</f>
        <v>0</v>
      </c>
      <c r="AE108" s="13">
        <f>Weights!$B$17*Index!J108/Index!U108</f>
        <v>0.25</v>
      </c>
      <c r="AF108" s="20">
        <f t="shared" si="43"/>
        <v>101.1603672071596</v>
      </c>
      <c r="AG108" s="35">
        <f t="shared" si="55"/>
        <v>99.285524733630098</v>
      </c>
      <c r="AH108" s="12">
        <f>Weights!$E$9*Index!B108/M108</f>
        <v>1.8242594452810148E-2</v>
      </c>
      <c r="AI108" s="12">
        <f>Weights!$E$10*Index!C108/N108</f>
        <v>2.0626490461049283E-2</v>
      </c>
      <c r="AJ108" s="12">
        <f>Weights!$E$11*Index!D108/O108</f>
        <v>0</v>
      </c>
      <c r="AK108" s="12">
        <f>Weights!$E$12*Index!E108/P108</f>
        <v>0.18426541966361867</v>
      </c>
      <c r="AL108" s="12">
        <f>Weights!$E$13*Index!F108/Q108</f>
        <v>0.32698704169063547</v>
      </c>
      <c r="AM108" s="12">
        <f>Weights!$E$14*Index!G108/R108</f>
        <v>0</v>
      </c>
      <c r="AN108" s="12">
        <f>Weights!$E$15*Index!H108/S108</f>
        <v>0.22122900289777675</v>
      </c>
      <c r="AO108" s="12">
        <f>Weights!$E$16*Index!I108/T108</f>
        <v>0</v>
      </c>
      <c r="AP108" s="12">
        <f>Weights!$E$17*Index!J108/U108</f>
        <v>0.25</v>
      </c>
      <c r="AQ108" s="45">
        <f t="shared" si="44"/>
        <v>101.40532521091669</v>
      </c>
    </row>
    <row r="109" spans="1:43" x14ac:dyDescent="0.25">
      <c r="A109" s="8">
        <v>46129</v>
      </c>
      <c r="B109" s="22">
        <v>115.283</v>
      </c>
      <c r="C109" s="22">
        <v>138.61000000000001</v>
      </c>
      <c r="D109" s="22">
        <v>159.64704599999999</v>
      </c>
      <c r="E109" s="22">
        <v>127.464568</v>
      </c>
      <c r="F109" s="22">
        <v>18874.939999999999</v>
      </c>
      <c r="G109" s="22">
        <v>363.65</v>
      </c>
      <c r="H109" s="22">
        <v>2697.53</v>
      </c>
      <c r="I109" s="22">
        <v>605.09</v>
      </c>
      <c r="J109" s="22">
        <v>393.36</v>
      </c>
      <c r="K109" s="9" t="str">
        <f t="shared" si="41"/>
        <v/>
      </c>
      <c r="L109" s="10">
        <f t="shared" si="42"/>
        <v>92</v>
      </c>
      <c r="M109" s="27">
        <f t="shared" si="45"/>
        <v>115.2873</v>
      </c>
      <c r="N109" s="14">
        <f t="shared" si="46"/>
        <v>138.72</v>
      </c>
      <c r="O109" s="14">
        <f t="shared" si="47"/>
        <v>158.58182600000001</v>
      </c>
      <c r="P109" s="14">
        <f t="shared" si="48"/>
        <v>128.88927799999999</v>
      </c>
      <c r="Q109" s="14">
        <f t="shared" si="49"/>
        <v>17835.66</v>
      </c>
      <c r="R109" s="14">
        <f t="shared" si="50"/>
        <v>336.24</v>
      </c>
      <c r="S109" s="14">
        <f t="shared" si="51"/>
        <v>2546.7800000000002</v>
      </c>
      <c r="T109" s="14">
        <f t="shared" si="52"/>
        <v>575.76</v>
      </c>
      <c r="U109" s="14">
        <f t="shared" si="53"/>
        <v>393.36</v>
      </c>
      <c r="V109" s="36">
        <f t="shared" si="54"/>
        <v>99.045220753728984</v>
      </c>
      <c r="W109" s="13">
        <f>Weights!$B$9*Index!B109/Index!M109</f>
        <v>2.9998881056282869E-2</v>
      </c>
      <c r="X109" s="13">
        <f>Weights!$B$10*Index!C109/Index!N109</f>
        <v>0.24980175893886969</v>
      </c>
      <c r="Y109" s="13">
        <f>Weights!$B$11*Index!D109/Index!O109</f>
        <v>7.0470201421441572E-2</v>
      </c>
      <c r="Z109" s="13">
        <f>Weights!$B$12*Index!E109/Index!P109</f>
        <v>1.97789249777627E-2</v>
      </c>
      <c r="AA109" s="13">
        <f>Weights!$B$13*Index!F109/Index!Q109</f>
        <v>0.13757507151403425</v>
      </c>
      <c r="AB109" s="13">
        <f>Weights!$B$14*Index!G109/Index!R109</f>
        <v>0.21630383059719249</v>
      </c>
      <c r="AC109" s="13">
        <f>Weights!$B$15*Index!H109/Index!S109</f>
        <v>5.2959619598080716E-2</v>
      </c>
      <c r="AD109" s="13">
        <f>Weights!$B$16*Index!I109/Index!T109</f>
        <v>0</v>
      </c>
      <c r="AE109" s="13">
        <f>Weights!$B$17*Index!J109/Index!U109</f>
        <v>0.25</v>
      </c>
      <c r="AF109" s="20">
        <f t="shared" si="43"/>
        <v>101.70837718464625</v>
      </c>
      <c r="AG109" s="35">
        <f t="shared" si="55"/>
        <v>99.285524733630098</v>
      </c>
      <c r="AH109" s="12">
        <f>Weights!$E$9*Index!B109/M109</f>
        <v>1.8242562804496341E-2</v>
      </c>
      <c r="AI109" s="12">
        <f>Weights!$E$10*Index!C109/N109</f>
        <v>2.0659280604133551E-2</v>
      </c>
      <c r="AJ109" s="12">
        <f>Weights!$E$11*Index!D109/O109</f>
        <v>0</v>
      </c>
      <c r="AK109" s="12">
        <f>Weights!$E$12*Index!E109/P109</f>
        <v>0.18402418712418406</v>
      </c>
      <c r="AL109" s="12">
        <f>Weights!$E$13*Index!F109/Q109</f>
        <v>0.33335498097631366</v>
      </c>
      <c r="AM109" s="12">
        <f>Weights!$E$14*Index!G109/R109</f>
        <v>0</v>
      </c>
      <c r="AN109" s="12">
        <f>Weights!$E$15*Index!H109/S109</f>
        <v>0.22243040231193895</v>
      </c>
      <c r="AO109" s="12">
        <f>Weights!$E$16*Index!I109/T109</f>
        <v>0</v>
      </c>
      <c r="AP109" s="12">
        <f>Weights!$E$17*Index!J109/U109</f>
        <v>0.25</v>
      </c>
      <c r="AQ109" s="45">
        <f t="shared" si="44"/>
        <v>102.1361525206991</v>
      </c>
    </row>
    <row r="110" spans="1:43" x14ac:dyDescent="0.25">
      <c r="A110" s="8">
        <v>46130</v>
      </c>
      <c r="B110" s="22">
        <v>115.283</v>
      </c>
      <c r="C110" s="22">
        <v>138.61000000000001</v>
      </c>
      <c r="D110" s="22">
        <v>159.64704599999999</v>
      </c>
      <c r="E110" s="22">
        <v>127.464568</v>
      </c>
      <c r="F110" s="22">
        <v>18874.939999999999</v>
      </c>
      <c r="G110" s="22">
        <v>363.65</v>
      </c>
      <c r="H110" s="22">
        <v>2697.53</v>
      </c>
      <c r="I110" s="22">
        <v>605.09</v>
      </c>
      <c r="J110" s="22">
        <v>393.36</v>
      </c>
      <c r="K110" s="9" t="str">
        <f t="shared" si="41"/>
        <v/>
      </c>
      <c r="L110" s="10">
        <f t="shared" si="42"/>
        <v>92</v>
      </c>
      <c r="M110" s="27">
        <f t="shared" si="45"/>
        <v>115.2873</v>
      </c>
      <c r="N110" s="14">
        <f t="shared" si="46"/>
        <v>138.72</v>
      </c>
      <c r="O110" s="14">
        <f t="shared" si="47"/>
        <v>158.58182600000001</v>
      </c>
      <c r="P110" s="14">
        <f t="shared" si="48"/>
        <v>128.88927799999999</v>
      </c>
      <c r="Q110" s="14">
        <f t="shared" si="49"/>
        <v>17835.66</v>
      </c>
      <c r="R110" s="14">
        <f t="shared" si="50"/>
        <v>336.24</v>
      </c>
      <c r="S110" s="14">
        <f t="shared" si="51"/>
        <v>2546.7800000000002</v>
      </c>
      <c r="T110" s="14">
        <f t="shared" si="52"/>
        <v>575.76</v>
      </c>
      <c r="U110" s="14">
        <f t="shared" si="53"/>
        <v>393.36</v>
      </c>
      <c r="V110" s="36">
        <f t="shared" si="54"/>
        <v>99.045220753728984</v>
      </c>
      <c r="W110" s="13">
        <f>Weights!$B$9*Index!B110/Index!M110</f>
        <v>2.9998881056282869E-2</v>
      </c>
      <c r="X110" s="13">
        <f>Weights!$B$10*Index!C110/Index!N110</f>
        <v>0.24980175893886969</v>
      </c>
      <c r="Y110" s="13">
        <f>Weights!$B$11*Index!D110/Index!O110</f>
        <v>7.0470201421441572E-2</v>
      </c>
      <c r="Z110" s="13">
        <f>Weights!$B$12*Index!E110/Index!P110</f>
        <v>1.97789249777627E-2</v>
      </c>
      <c r="AA110" s="13">
        <f>Weights!$B$13*Index!F110/Index!Q110</f>
        <v>0.13757507151403425</v>
      </c>
      <c r="AB110" s="13">
        <f>Weights!$B$14*Index!G110/Index!R110</f>
        <v>0.21630383059719249</v>
      </c>
      <c r="AC110" s="13">
        <f>Weights!$B$15*Index!H110/Index!S110</f>
        <v>5.2959619598080716E-2</v>
      </c>
      <c r="AD110" s="13">
        <f>Weights!$B$16*Index!I110/Index!T110</f>
        <v>0</v>
      </c>
      <c r="AE110" s="13">
        <f>Weights!$B$17*Index!J110/Index!U110</f>
        <v>0.25</v>
      </c>
      <c r="AF110" s="20">
        <f t="shared" si="43"/>
        <v>101.70837718464625</v>
      </c>
      <c r="AG110" s="35">
        <f t="shared" si="55"/>
        <v>99.285524733630098</v>
      </c>
      <c r="AH110" s="12">
        <f>Weights!$E$9*Index!B110/M110</f>
        <v>1.8242562804496341E-2</v>
      </c>
      <c r="AI110" s="12">
        <f>Weights!$E$10*Index!C110/N110</f>
        <v>2.0659280604133551E-2</v>
      </c>
      <c r="AJ110" s="12">
        <f>Weights!$E$11*Index!D110/O110</f>
        <v>0</v>
      </c>
      <c r="AK110" s="12">
        <f>Weights!$E$12*Index!E110/P110</f>
        <v>0.18402418712418406</v>
      </c>
      <c r="AL110" s="12">
        <f>Weights!$E$13*Index!F110/Q110</f>
        <v>0.33335498097631366</v>
      </c>
      <c r="AM110" s="12">
        <f>Weights!$E$14*Index!G110/R110</f>
        <v>0</v>
      </c>
      <c r="AN110" s="12">
        <f>Weights!$E$15*Index!H110/S110</f>
        <v>0.22243040231193895</v>
      </c>
      <c r="AO110" s="12">
        <f>Weights!$E$16*Index!I110/T110</f>
        <v>0</v>
      </c>
      <c r="AP110" s="12">
        <f>Weights!$E$17*Index!J110/U110</f>
        <v>0.25</v>
      </c>
      <c r="AQ110" s="45">
        <f t="shared" si="44"/>
        <v>102.1361525206991</v>
      </c>
    </row>
    <row r="111" spans="1:43" x14ac:dyDescent="0.25">
      <c r="A111" s="8">
        <v>46131</v>
      </c>
      <c r="B111" s="22">
        <v>115.283</v>
      </c>
      <c r="C111" s="22">
        <v>138.61000000000001</v>
      </c>
      <c r="D111" s="22">
        <v>159.64704599999999</v>
      </c>
      <c r="E111" s="22">
        <v>127.464568</v>
      </c>
      <c r="F111" s="22">
        <v>18874.939999999999</v>
      </c>
      <c r="G111" s="22">
        <v>363.65</v>
      </c>
      <c r="H111" s="22">
        <v>2697.53</v>
      </c>
      <c r="I111" s="22">
        <v>605.09</v>
      </c>
      <c r="J111" s="22">
        <v>393.36</v>
      </c>
      <c r="K111" s="9" t="str">
        <f t="shared" si="41"/>
        <v/>
      </c>
      <c r="L111" s="10">
        <f t="shared" si="42"/>
        <v>92</v>
      </c>
      <c r="M111" s="27">
        <f t="shared" si="45"/>
        <v>115.2873</v>
      </c>
      <c r="N111" s="14">
        <f t="shared" si="46"/>
        <v>138.72</v>
      </c>
      <c r="O111" s="14">
        <f t="shared" si="47"/>
        <v>158.58182600000001</v>
      </c>
      <c r="P111" s="14">
        <f t="shared" si="48"/>
        <v>128.88927799999999</v>
      </c>
      <c r="Q111" s="14">
        <f t="shared" si="49"/>
        <v>17835.66</v>
      </c>
      <c r="R111" s="14">
        <f t="shared" si="50"/>
        <v>336.24</v>
      </c>
      <c r="S111" s="14">
        <f t="shared" si="51"/>
        <v>2546.7800000000002</v>
      </c>
      <c r="T111" s="14">
        <f t="shared" si="52"/>
        <v>575.76</v>
      </c>
      <c r="U111" s="14">
        <f t="shared" si="53"/>
        <v>393.36</v>
      </c>
      <c r="V111" s="36">
        <f t="shared" si="54"/>
        <v>99.045220753728984</v>
      </c>
      <c r="W111" s="13">
        <f>Weights!$B$9*Index!B111/Index!M111</f>
        <v>2.9998881056282869E-2</v>
      </c>
      <c r="X111" s="13">
        <f>Weights!$B$10*Index!C111/Index!N111</f>
        <v>0.24980175893886969</v>
      </c>
      <c r="Y111" s="13">
        <f>Weights!$B$11*Index!D111/Index!O111</f>
        <v>7.0470201421441572E-2</v>
      </c>
      <c r="Z111" s="13">
        <f>Weights!$B$12*Index!E111/Index!P111</f>
        <v>1.97789249777627E-2</v>
      </c>
      <c r="AA111" s="13">
        <f>Weights!$B$13*Index!F111/Index!Q111</f>
        <v>0.13757507151403425</v>
      </c>
      <c r="AB111" s="13">
        <f>Weights!$B$14*Index!G111/Index!R111</f>
        <v>0.21630383059719249</v>
      </c>
      <c r="AC111" s="13">
        <f>Weights!$B$15*Index!H111/Index!S111</f>
        <v>5.2959619598080716E-2</v>
      </c>
      <c r="AD111" s="13">
        <f>Weights!$B$16*Index!I111/Index!T111</f>
        <v>0</v>
      </c>
      <c r="AE111" s="13">
        <f>Weights!$B$17*Index!J111/Index!U111</f>
        <v>0.25</v>
      </c>
      <c r="AF111" s="20">
        <f t="shared" si="43"/>
        <v>101.70837718464625</v>
      </c>
      <c r="AG111" s="35">
        <f t="shared" si="55"/>
        <v>99.285524733630098</v>
      </c>
      <c r="AH111" s="12">
        <f>Weights!$E$9*Index!B111/M111</f>
        <v>1.8242562804496341E-2</v>
      </c>
      <c r="AI111" s="12">
        <f>Weights!$E$10*Index!C111/N111</f>
        <v>2.0659280604133551E-2</v>
      </c>
      <c r="AJ111" s="12">
        <f>Weights!$E$11*Index!D111/O111</f>
        <v>0</v>
      </c>
      <c r="AK111" s="12">
        <f>Weights!$E$12*Index!E111/P111</f>
        <v>0.18402418712418406</v>
      </c>
      <c r="AL111" s="12">
        <f>Weights!$E$13*Index!F111/Q111</f>
        <v>0.33335498097631366</v>
      </c>
      <c r="AM111" s="12">
        <f>Weights!$E$14*Index!G111/R111</f>
        <v>0</v>
      </c>
      <c r="AN111" s="12">
        <f>Weights!$E$15*Index!H111/S111</f>
        <v>0.22243040231193895</v>
      </c>
      <c r="AO111" s="12">
        <f>Weights!$E$16*Index!I111/T111</f>
        <v>0</v>
      </c>
      <c r="AP111" s="12">
        <f>Weights!$E$17*Index!J111/U111</f>
        <v>0.25</v>
      </c>
      <c r="AQ111" s="45">
        <f t="shared" si="44"/>
        <v>102.1361525206991</v>
      </c>
    </row>
    <row r="112" spans="1:43" x14ac:dyDescent="0.25">
      <c r="A112" s="8">
        <v>46132</v>
      </c>
      <c r="B112" s="22">
        <v>115.2822</v>
      </c>
      <c r="C112" s="22">
        <v>138.61000000000001</v>
      </c>
      <c r="D112" s="22">
        <v>159.51846599999999</v>
      </c>
      <c r="E112" s="22">
        <v>127.184631</v>
      </c>
      <c r="F112" s="22">
        <v>18765.28</v>
      </c>
      <c r="G112" s="22">
        <v>362.81</v>
      </c>
      <c r="H112" s="22">
        <v>2688.77</v>
      </c>
      <c r="I112" s="22">
        <v>609.74</v>
      </c>
      <c r="J112" s="22">
        <v>393.36</v>
      </c>
      <c r="K112" s="9" t="str">
        <f t="shared" si="41"/>
        <v/>
      </c>
      <c r="L112" s="10">
        <f t="shared" si="42"/>
        <v>92</v>
      </c>
      <c r="M112" s="27">
        <f t="shared" si="45"/>
        <v>115.2873</v>
      </c>
      <c r="N112" s="14">
        <f t="shared" si="46"/>
        <v>138.72</v>
      </c>
      <c r="O112" s="14">
        <f t="shared" si="47"/>
        <v>158.58182600000001</v>
      </c>
      <c r="P112" s="14">
        <f t="shared" si="48"/>
        <v>128.88927799999999</v>
      </c>
      <c r="Q112" s="14">
        <f t="shared" si="49"/>
        <v>17835.66</v>
      </c>
      <c r="R112" s="14">
        <f t="shared" si="50"/>
        <v>336.24</v>
      </c>
      <c r="S112" s="14">
        <f t="shared" si="51"/>
        <v>2546.7800000000002</v>
      </c>
      <c r="T112" s="14">
        <f t="shared" si="52"/>
        <v>575.76</v>
      </c>
      <c r="U112" s="14">
        <f t="shared" si="53"/>
        <v>393.36</v>
      </c>
      <c r="V112" s="36">
        <f t="shared" si="54"/>
        <v>99.045220753728984</v>
      </c>
      <c r="W112" s="13">
        <f>Weights!$B$9*Index!B112/Index!M112</f>
        <v>2.9998672880707587E-2</v>
      </c>
      <c r="X112" s="13">
        <f>Weights!$B$10*Index!C112/Index!N112</f>
        <v>0.24980175893886969</v>
      </c>
      <c r="Y112" s="13">
        <f>Weights!$B$11*Index!D112/Index!O112</f>
        <v>7.0413444602409864E-2</v>
      </c>
      <c r="Z112" s="13">
        <f>Weights!$B$12*Index!E112/Index!P112</f>
        <v>1.9735486608901634E-2</v>
      </c>
      <c r="AA112" s="13">
        <f>Weights!$B$13*Index!F112/Index!Q112</f>
        <v>0.13677578514055549</v>
      </c>
      <c r="AB112" s="13">
        <f>Weights!$B$14*Index!G112/Index!R112</f>
        <v>0.21580418748512967</v>
      </c>
      <c r="AC112" s="13">
        <f>Weights!$B$15*Index!H112/Index!S112</f>
        <v>5.2787637722928556E-2</v>
      </c>
      <c r="AD112" s="13">
        <f>Weights!$B$16*Index!I112/Index!T112</f>
        <v>0</v>
      </c>
      <c r="AE112" s="13">
        <f>Weights!$B$17*Index!J112/Index!U112</f>
        <v>0.25</v>
      </c>
      <c r="AF112" s="20">
        <f t="shared" si="43"/>
        <v>101.55274597091808</v>
      </c>
      <c r="AG112" s="35">
        <f t="shared" si="55"/>
        <v>99.285524733630098</v>
      </c>
      <c r="AH112" s="12">
        <f>Weights!$E$9*Index!B112/M112</f>
        <v>1.8242436211241102E-2</v>
      </c>
      <c r="AI112" s="12">
        <f>Weights!$E$10*Index!C112/N112</f>
        <v>2.0659280604133551E-2</v>
      </c>
      <c r="AJ112" s="12">
        <f>Weights!$E$11*Index!D112/O112</f>
        <v>0</v>
      </c>
      <c r="AK112" s="12">
        <f>Weights!$E$12*Index!E112/P112</f>
        <v>0.18362003419228079</v>
      </c>
      <c r="AL112" s="12">
        <f>Weights!$E$13*Index!F112/Q112</f>
        <v>0.33141824860980745</v>
      </c>
      <c r="AM112" s="12">
        <f>Weights!$E$14*Index!G112/R112</f>
        <v>0</v>
      </c>
      <c r="AN112" s="12">
        <f>Weights!$E$15*Index!H112/S112</f>
        <v>0.22170807843629989</v>
      </c>
      <c r="AO112" s="12">
        <f>Weights!$E$16*Index!I112/T112</f>
        <v>0</v>
      </c>
      <c r="AP112" s="12">
        <f>Weights!$E$17*Index!J112/U112</f>
        <v>0.25</v>
      </c>
      <c r="AQ112" s="45">
        <f t="shared" si="44"/>
        <v>101.83200762160705</v>
      </c>
    </row>
    <row r="113" spans="1:43" x14ac:dyDescent="0.25">
      <c r="A113" s="8">
        <v>46133</v>
      </c>
      <c r="B113" s="22">
        <v>115.282</v>
      </c>
      <c r="C113" s="22">
        <v>138.58000000000001</v>
      </c>
      <c r="D113" s="22">
        <v>159.24288300000001</v>
      </c>
      <c r="E113" s="22">
        <v>127.071803</v>
      </c>
      <c r="F113" s="22">
        <v>18595.09</v>
      </c>
      <c r="G113" s="22">
        <v>360.52</v>
      </c>
      <c r="H113" s="22">
        <v>2673.6</v>
      </c>
      <c r="I113" s="22">
        <v>611.63</v>
      </c>
      <c r="J113" s="22">
        <v>393.36</v>
      </c>
      <c r="K113" s="9" t="str">
        <f t="shared" si="41"/>
        <v/>
      </c>
      <c r="L113" s="10">
        <f t="shared" si="42"/>
        <v>92</v>
      </c>
      <c r="M113" s="27">
        <f t="shared" si="45"/>
        <v>115.2873</v>
      </c>
      <c r="N113" s="14">
        <f t="shared" si="46"/>
        <v>138.72</v>
      </c>
      <c r="O113" s="14">
        <f t="shared" si="47"/>
        <v>158.58182600000001</v>
      </c>
      <c r="P113" s="14">
        <f t="shared" si="48"/>
        <v>128.88927799999999</v>
      </c>
      <c r="Q113" s="14">
        <f t="shared" si="49"/>
        <v>17835.66</v>
      </c>
      <c r="R113" s="14">
        <f t="shared" si="50"/>
        <v>336.24</v>
      </c>
      <c r="S113" s="14">
        <f t="shared" si="51"/>
        <v>2546.7800000000002</v>
      </c>
      <c r="T113" s="14">
        <f t="shared" si="52"/>
        <v>575.76</v>
      </c>
      <c r="U113" s="14">
        <f t="shared" si="53"/>
        <v>393.36</v>
      </c>
      <c r="V113" s="36">
        <f t="shared" si="54"/>
        <v>99.045220753728984</v>
      </c>
      <c r="W113" s="13">
        <f>Weights!$B$9*Index!B113/Index!M113</f>
        <v>2.9998620836813764E-2</v>
      </c>
      <c r="X113" s="13">
        <f>Weights!$B$10*Index!C113/Index!N113</f>
        <v>0.24974769319492504</v>
      </c>
      <c r="Y113" s="13">
        <f>Weights!$B$11*Index!D113/Index!O113</f>
        <v>7.0291798821890225E-2</v>
      </c>
      <c r="Z113" s="13">
        <f>Weights!$B$12*Index!E113/Index!P113</f>
        <v>1.9717978868653452E-2</v>
      </c>
      <c r="AA113" s="13">
        <f>Weights!$B$13*Index!F113/Index!Q113</f>
        <v>0.13553530959885982</v>
      </c>
      <c r="AB113" s="13">
        <f>Weights!$B$14*Index!G113/Index!R113</f>
        <v>0.21444206519152986</v>
      </c>
      <c r="AC113" s="13">
        <f>Weights!$B$15*Index!H113/Index!S113</f>
        <v>5.2489810662876259E-2</v>
      </c>
      <c r="AD113" s="13">
        <f>Weights!$B$16*Index!I113/Index!T113</f>
        <v>0</v>
      </c>
      <c r="AE113" s="13">
        <f>Weights!$B$17*Index!J113/Index!U113</f>
        <v>0.25</v>
      </c>
      <c r="AF113" s="20">
        <f t="shared" si="43"/>
        <v>101.2463301474525</v>
      </c>
      <c r="AG113" s="35">
        <f t="shared" si="55"/>
        <v>99.285524733630098</v>
      </c>
      <c r="AH113" s="12">
        <f>Weights!$E$9*Index!B113/M113</f>
        <v>1.8242404562927292E-2</v>
      </c>
      <c r="AI113" s="12">
        <f>Weights!$E$10*Index!C113/N113</f>
        <v>2.0654809220985691E-2</v>
      </c>
      <c r="AJ113" s="12">
        <f>Weights!$E$11*Index!D113/O113</f>
        <v>0</v>
      </c>
      <c r="AK113" s="12">
        <f>Weights!$E$12*Index!E113/P113</f>
        <v>0.18345714123064732</v>
      </c>
      <c r="AL113" s="12">
        <f>Weights!$E$13*Index!F113/Q113</f>
        <v>0.32841248095108333</v>
      </c>
      <c r="AM113" s="12">
        <f>Weights!$E$14*Index!G113/R113</f>
        <v>0</v>
      </c>
      <c r="AN113" s="12">
        <f>Weights!$E$15*Index!H113/S113</f>
        <v>0.22045720478408024</v>
      </c>
      <c r="AO113" s="12">
        <f>Weights!$E$16*Index!I113/T113</f>
        <v>0</v>
      </c>
      <c r="AP113" s="12">
        <f>Weights!$E$17*Index!J113/U113</f>
        <v>0.25</v>
      </c>
      <c r="AQ113" s="45">
        <f t="shared" si="44"/>
        <v>101.39276475643439</v>
      </c>
    </row>
    <row r="114" spans="1:43" x14ac:dyDescent="0.25">
      <c r="A114" s="8">
        <v>46134</v>
      </c>
      <c r="B114" s="22">
        <v>115.2817</v>
      </c>
      <c r="C114" s="22">
        <v>138.52000000000001</v>
      </c>
      <c r="D114" s="22">
        <v>159.2835</v>
      </c>
      <c r="E114" s="22">
        <v>127.529848</v>
      </c>
      <c r="F114" s="22">
        <v>18485.68</v>
      </c>
      <c r="G114" s="22">
        <v>362.97</v>
      </c>
      <c r="H114" s="22">
        <v>2700.77</v>
      </c>
      <c r="I114" s="22">
        <v>611.92999999999995</v>
      </c>
      <c r="J114" s="22">
        <v>393.36</v>
      </c>
      <c r="K114" s="9" t="str">
        <f t="shared" si="41"/>
        <v/>
      </c>
      <c r="L114" s="10">
        <f t="shared" si="42"/>
        <v>92</v>
      </c>
      <c r="M114" s="27">
        <f t="shared" si="45"/>
        <v>115.2873</v>
      </c>
      <c r="N114" s="14">
        <f t="shared" si="46"/>
        <v>138.72</v>
      </c>
      <c r="O114" s="14">
        <f t="shared" si="47"/>
        <v>158.58182600000001</v>
      </c>
      <c r="P114" s="14">
        <f t="shared" si="48"/>
        <v>128.88927799999999</v>
      </c>
      <c r="Q114" s="14">
        <f t="shared" si="49"/>
        <v>17835.66</v>
      </c>
      <c r="R114" s="14">
        <f t="shared" si="50"/>
        <v>336.24</v>
      </c>
      <c r="S114" s="14">
        <f t="shared" si="51"/>
        <v>2546.7800000000002</v>
      </c>
      <c r="T114" s="14">
        <f t="shared" si="52"/>
        <v>575.76</v>
      </c>
      <c r="U114" s="14">
        <f t="shared" si="53"/>
        <v>393.36</v>
      </c>
      <c r="V114" s="36">
        <f t="shared" si="54"/>
        <v>99.045220753728984</v>
      </c>
      <c r="W114" s="13">
        <f>Weights!$B$9*Index!B114/Index!M114</f>
        <v>2.9998542770973035E-2</v>
      </c>
      <c r="X114" s="13">
        <f>Weights!$B$10*Index!C114/Index!N114</f>
        <v>0.24963956170703577</v>
      </c>
      <c r="Y114" s="13">
        <f>Weights!$B$11*Index!D114/Index!O114</f>
        <v>7.0309727673333766E-2</v>
      </c>
      <c r="Z114" s="13">
        <f>Weights!$B$12*Index!E114/Index!P114</f>
        <v>1.9789054602354125E-2</v>
      </c>
      <c r="AA114" s="13">
        <f>Weights!$B$13*Index!F114/Index!Q114</f>
        <v>0.13473784541755116</v>
      </c>
      <c r="AB114" s="13">
        <f>Weights!$B$14*Index!G114/Index!R114</f>
        <v>0.21589935760171308</v>
      </c>
      <c r="AC114" s="13">
        <f>Weights!$B$15*Index!H114/Index!S114</f>
        <v>5.3023229332726025E-2</v>
      </c>
      <c r="AD114" s="13">
        <f>Weights!$B$16*Index!I114/Index!T114</f>
        <v>0</v>
      </c>
      <c r="AE114" s="13">
        <f>Weights!$B$17*Index!J114/Index!U114</f>
        <v>0.25</v>
      </c>
      <c r="AF114" s="20">
        <f t="shared" si="43"/>
        <v>101.36261338959719</v>
      </c>
      <c r="AG114" s="35">
        <f t="shared" si="55"/>
        <v>99.285524733630098</v>
      </c>
      <c r="AH114" s="12">
        <f>Weights!$E$9*Index!B114/M114</f>
        <v>1.8242357090456577E-2</v>
      </c>
      <c r="AI114" s="12">
        <f>Weights!$E$10*Index!C114/N114</f>
        <v>2.0645866454689986E-2</v>
      </c>
      <c r="AJ114" s="12">
        <f>Weights!$E$11*Index!D114/O114</f>
        <v>0</v>
      </c>
      <c r="AK114" s="12">
        <f>Weights!$E$12*Index!E114/P114</f>
        <v>0.18411843369892994</v>
      </c>
      <c r="AL114" s="12">
        <f>Weights!$E$13*Index!F114/Q114</f>
        <v>0.32648016389637385</v>
      </c>
      <c r="AM114" s="12">
        <f>Weights!$E$14*Index!G114/R114</f>
        <v>0</v>
      </c>
      <c r="AN114" s="12">
        <f>Weights!$E$15*Index!H114/S114</f>
        <v>0.22269756319744927</v>
      </c>
      <c r="AO114" s="12">
        <f>Weights!$E$16*Index!I114/T114</f>
        <v>0</v>
      </c>
      <c r="AP114" s="12">
        <f>Weights!$E$17*Index!J114/U114</f>
        <v>0.25</v>
      </c>
      <c r="AQ114" s="45">
        <f t="shared" si="44"/>
        <v>101.48811297351098</v>
      </c>
    </row>
    <row r="115" spans="1:43" x14ac:dyDescent="0.25">
      <c r="A115" s="8">
        <v>46135</v>
      </c>
      <c r="B115" s="22">
        <v>115.2814</v>
      </c>
      <c r="C115" s="22">
        <v>138.46</v>
      </c>
      <c r="D115" s="22">
        <v>159.07477399999999</v>
      </c>
      <c r="E115" s="22">
        <v>127.404841</v>
      </c>
      <c r="F115" s="22">
        <v>18705.52</v>
      </c>
      <c r="G115" s="22">
        <v>361.59</v>
      </c>
      <c r="H115" s="22">
        <v>2693.26</v>
      </c>
      <c r="I115" s="22">
        <v>607.69000000000005</v>
      </c>
      <c r="J115" s="22">
        <v>393.36</v>
      </c>
      <c r="K115" s="9" t="str">
        <f t="shared" si="41"/>
        <v/>
      </c>
      <c r="L115" s="10">
        <f t="shared" si="42"/>
        <v>92</v>
      </c>
      <c r="M115" s="27">
        <f t="shared" si="45"/>
        <v>115.2873</v>
      </c>
      <c r="N115" s="14">
        <f t="shared" si="46"/>
        <v>138.72</v>
      </c>
      <c r="O115" s="14">
        <f t="shared" si="47"/>
        <v>158.58182600000001</v>
      </c>
      <c r="P115" s="14">
        <f t="shared" si="48"/>
        <v>128.88927799999999</v>
      </c>
      <c r="Q115" s="14">
        <f t="shared" si="49"/>
        <v>17835.66</v>
      </c>
      <c r="R115" s="14">
        <f t="shared" si="50"/>
        <v>336.24</v>
      </c>
      <c r="S115" s="14">
        <f t="shared" si="51"/>
        <v>2546.7800000000002</v>
      </c>
      <c r="T115" s="14">
        <f t="shared" si="52"/>
        <v>575.76</v>
      </c>
      <c r="U115" s="14">
        <f t="shared" si="53"/>
        <v>393.36</v>
      </c>
      <c r="V115" s="36">
        <f t="shared" si="54"/>
        <v>99.045220753728984</v>
      </c>
      <c r="W115" s="13">
        <f>Weights!$B$9*Index!B115/Index!M115</f>
        <v>2.9998464705132309E-2</v>
      </c>
      <c r="X115" s="13">
        <f>Weights!$B$10*Index!C115/Index!N115</f>
        <v>0.24953143021914651</v>
      </c>
      <c r="Y115" s="13">
        <f>Weights!$B$11*Index!D115/Index!O115</f>
        <v>7.0217593408213125E-2</v>
      </c>
      <c r="Z115" s="13">
        <f>Weights!$B$12*Index!E115/Index!P115</f>
        <v>1.9769657022983715E-2</v>
      </c>
      <c r="AA115" s="13">
        <f>Weights!$B$13*Index!F115/Index!Q115</f>
        <v>0.13634020832422236</v>
      </c>
      <c r="AB115" s="13">
        <f>Weights!$B$14*Index!G115/Index!R115</f>
        <v>0.21507851534618128</v>
      </c>
      <c r="AC115" s="13">
        <f>Weights!$B$15*Index!H115/Index!S115</f>
        <v>5.2875788250261117E-2</v>
      </c>
      <c r="AD115" s="13">
        <f>Weights!$B$16*Index!I115/Index!T115</f>
        <v>0</v>
      </c>
      <c r="AE115" s="13">
        <f>Weights!$B$17*Index!J115/Index!U115</f>
        <v>0.25</v>
      </c>
      <c r="AF115" s="20">
        <f t="shared" si="43"/>
        <v>101.40365160515645</v>
      </c>
      <c r="AG115" s="35">
        <f t="shared" si="55"/>
        <v>99.285524733630098</v>
      </c>
      <c r="AH115" s="12">
        <f>Weights!$E$9*Index!B115/M115</f>
        <v>1.8242309617985862E-2</v>
      </c>
      <c r="AI115" s="12">
        <f>Weights!$E$10*Index!C115/N115</f>
        <v>2.0636923688394281E-2</v>
      </c>
      <c r="AJ115" s="12">
        <f>Weights!$E$11*Index!D115/O115</f>
        <v>0</v>
      </c>
      <c r="AK115" s="12">
        <f>Weights!$E$12*Index!E115/P115</f>
        <v>0.18393795757194983</v>
      </c>
      <c r="AL115" s="12">
        <f>Weights!$E$13*Index!F115/Q115</f>
        <v>0.33036281247792337</v>
      </c>
      <c r="AM115" s="12">
        <f>Weights!$E$14*Index!G115/R115</f>
        <v>0</v>
      </c>
      <c r="AN115" s="12">
        <f>Weights!$E$15*Index!H115/S115</f>
        <v>0.22207831065109662</v>
      </c>
      <c r="AO115" s="12">
        <f>Weights!$E$16*Index!I115/T115</f>
        <v>0</v>
      </c>
      <c r="AP115" s="12">
        <f>Weights!$E$17*Index!J115/U115</f>
        <v>0.25</v>
      </c>
      <c r="AQ115" s="45">
        <f t="shared" si="44"/>
        <v>101.79330969373663</v>
      </c>
    </row>
    <row r="116" spans="1:43" x14ac:dyDescent="0.25">
      <c r="A116" s="8">
        <v>46136</v>
      </c>
      <c r="B116" s="22">
        <v>115.2812</v>
      </c>
      <c r="C116" s="22">
        <v>138.24</v>
      </c>
      <c r="D116" s="22">
        <v>159.14421300000001</v>
      </c>
      <c r="E116" s="22">
        <v>127.846092</v>
      </c>
      <c r="F116" s="22">
        <v>18597.509999999998</v>
      </c>
      <c r="G116" s="22">
        <v>363.41</v>
      </c>
      <c r="H116" s="22">
        <v>2713.84</v>
      </c>
      <c r="I116" s="22">
        <v>610.74</v>
      </c>
      <c r="J116" s="22">
        <v>393.36</v>
      </c>
      <c r="K116" s="9" t="str">
        <f t="shared" si="41"/>
        <v/>
      </c>
      <c r="L116" s="10">
        <f t="shared" si="42"/>
        <v>92</v>
      </c>
      <c r="M116" s="27">
        <f t="shared" si="45"/>
        <v>115.2873</v>
      </c>
      <c r="N116" s="14">
        <f t="shared" si="46"/>
        <v>138.72</v>
      </c>
      <c r="O116" s="14">
        <f t="shared" si="47"/>
        <v>158.58182600000001</v>
      </c>
      <c r="P116" s="14">
        <f t="shared" si="48"/>
        <v>128.88927799999999</v>
      </c>
      <c r="Q116" s="14">
        <f t="shared" si="49"/>
        <v>17835.66</v>
      </c>
      <c r="R116" s="14">
        <f t="shared" si="50"/>
        <v>336.24</v>
      </c>
      <c r="S116" s="14">
        <f t="shared" si="51"/>
        <v>2546.7800000000002</v>
      </c>
      <c r="T116" s="14">
        <f t="shared" si="52"/>
        <v>575.76</v>
      </c>
      <c r="U116" s="14">
        <f t="shared" si="53"/>
        <v>393.36</v>
      </c>
      <c r="V116" s="36">
        <f t="shared" si="54"/>
        <v>99.045220753728984</v>
      </c>
      <c r="W116" s="13">
        <f>Weights!$B$9*Index!B116/Index!M116</f>
        <v>2.9998412661238486E-2</v>
      </c>
      <c r="X116" s="13">
        <f>Weights!$B$10*Index!C116/Index!N116</f>
        <v>0.24913494809688583</v>
      </c>
      <c r="Y116" s="13">
        <f>Weights!$B$11*Index!D116/Index!O116</f>
        <v>7.0248244650682745E-2</v>
      </c>
      <c r="Z116" s="13">
        <f>Weights!$B$12*Index!E116/Index!P116</f>
        <v>1.9838126799034444E-2</v>
      </c>
      <c r="AA116" s="13">
        <f>Weights!$B$13*Index!F116/Index!Q116</f>
        <v>0.13555294841906607</v>
      </c>
      <c r="AB116" s="13">
        <f>Weights!$B$14*Index!G116/Index!R116</f>
        <v>0.21616107542231738</v>
      </c>
      <c r="AC116" s="13">
        <f>Weights!$B$15*Index!H116/Index!S116</f>
        <v>5.3279827861063771E-2</v>
      </c>
      <c r="AD116" s="13">
        <f>Weights!$B$16*Index!I116/Index!T116</f>
        <v>0</v>
      </c>
      <c r="AE116" s="13">
        <f>Weights!$B$17*Index!J116/Index!U116</f>
        <v>0.25</v>
      </c>
      <c r="AF116" s="20">
        <f t="shared" si="43"/>
        <v>101.44346051736248</v>
      </c>
      <c r="AG116" s="35">
        <f t="shared" si="55"/>
        <v>99.285524733630098</v>
      </c>
      <c r="AH116" s="12">
        <f>Weights!$E$9*Index!B116/M116</f>
        <v>1.8242277969672056E-2</v>
      </c>
      <c r="AI116" s="12">
        <f>Weights!$E$10*Index!C116/N116</f>
        <v>2.0604133545310016E-2</v>
      </c>
      <c r="AJ116" s="12">
        <f>Weights!$E$11*Index!D116/O116</f>
        <v>0</v>
      </c>
      <c r="AK116" s="12">
        <f>Weights!$E$12*Index!E116/P116</f>
        <v>0.18457500406939478</v>
      </c>
      <c r="AL116" s="12">
        <f>Weights!$E$13*Index!F116/Q116</f>
        <v>0.32845522116927539</v>
      </c>
      <c r="AM116" s="12">
        <f>Weights!$E$14*Index!G116/R116</f>
        <v>0</v>
      </c>
      <c r="AN116" s="12">
        <f>Weights!$E$15*Index!H116/S116</f>
        <v>0.22377527701646782</v>
      </c>
      <c r="AO116" s="12">
        <f>Weights!$E$16*Index!I116/T116</f>
        <v>0</v>
      </c>
      <c r="AP116" s="12">
        <f>Weights!$E$17*Index!J116/U116</f>
        <v>0.25</v>
      </c>
      <c r="AQ116" s="45">
        <f t="shared" si="44"/>
        <v>101.83238845271831</v>
      </c>
    </row>
    <row r="117" spans="1:43" x14ac:dyDescent="0.25">
      <c r="A117" s="8">
        <v>46137</v>
      </c>
      <c r="B117" s="22">
        <v>115.2812</v>
      </c>
      <c r="C117" s="22">
        <v>138.24</v>
      </c>
      <c r="D117" s="22">
        <v>159.14421300000001</v>
      </c>
      <c r="E117" s="22">
        <v>127.846092</v>
      </c>
      <c r="F117" s="22">
        <v>18597.509999999998</v>
      </c>
      <c r="G117" s="22">
        <v>363.41</v>
      </c>
      <c r="H117" s="22">
        <v>2713.84</v>
      </c>
      <c r="I117" s="22">
        <v>610.74</v>
      </c>
      <c r="J117" s="22">
        <v>393.36</v>
      </c>
      <c r="K117" s="9" t="str">
        <f t="shared" si="41"/>
        <v/>
      </c>
      <c r="L117" s="10">
        <f t="shared" si="42"/>
        <v>92</v>
      </c>
      <c r="M117" s="27">
        <f t="shared" si="45"/>
        <v>115.2873</v>
      </c>
      <c r="N117" s="14">
        <f t="shared" si="46"/>
        <v>138.72</v>
      </c>
      <c r="O117" s="14">
        <f t="shared" si="47"/>
        <v>158.58182600000001</v>
      </c>
      <c r="P117" s="14">
        <f t="shared" si="48"/>
        <v>128.88927799999999</v>
      </c>
      <c r="Q117" s="14">
        <f t="shared" si="49"/>
        <v>17835.66</v>
      </c>
      <c r="R117" s="14">
        <f t="shared" si="50"/>
        <v>336.24</v>
      </c>
      <c r="S117" s="14">
        <f t="shared" si="51"/>
        <v>2546.7800000000002</v>
      </c>
      <c r="T117" s="14">
        <f t="shared" si="52"/>
        <v>575.76</v>
      </c>
      <c r="U117" s="14">
        <f t="shared" si="53"/>
        <v>393.36</v>
      </c>
      <c r="V117" s="36">
        <f t="shared" si="54"/>
        <v>99.045220753728984</v>
      </c>
      <c r="W117" s="13">
        <f>Weights!$B$9*Index!B117/Index!M117</f>
        <v>2.9998412661238486E-2</v>
      </c>
      <c r="X117" s="13">
        <f>Weights!$B$10*Index!C117/Index!N117</f>
        <v>0.24913494809688583</v>
      </c>
      <c r="Y117" s="13">
        <f>Weights!$B$11*Index!D117/Index!O117</f>
        <v>7.0248244650682745E-2</v>
      </c>
      <c r="Z117" s="13">
        <f>Weights!$B$12*Index!E117/Index!P117</f>
        <v>1.9838126799034444E-2</v>
      </c>
      <c r="AA117" s="13">
        <f>Weights!$B$13*Index!F117/Index!Q117</f>
        <v>0.13555294841906607</v>
      </c>
      <c r="AB117" s="13">
        <f>Weights!$B$14*Index!G117/Index!R117</f>
        <v>0.21616107542231738</v>
      </c>
      <c r="AC117" s="13">
        <f>Weights!$B$15*Index!H117/Index!S117</f>
        <v>5.3279827861063771E-2</v>
      </c>
      <c r="AD117" s="13">
        <f>Weights!$B$16*Index!I117/Index!T117</f>
        <v>0</v>
      </c>
      <c r="AE117" s="13">
        <f>Weights!$B$17*Index!J117/Index!U117</f>
        <v>0.25</v>
      </c>
      <c r="AF117" s="20">
        <f t="shared" si="43"/>
        <v>101.44346051736248</v>
      </c>
      <c r="AG117" s="35">
        <f t="shared" si="55"/>
        <v>99.285524733630098</v>
      </c>
      <c r="AH117" s="12">
        <f>Weights!$E$9*Index!B117/M117</f>
        <v>1.8242277969672056E-2</v>
      </c>
      <c r="AI117" s="12">
        <f>Weights!$E$10*Index!C117/N117</f>
        <v>2.0604133545310016E-2</v>
      </c>
      <c r="AJ117" s="12">
        <f>Weights!$E$11*Index!D117/O117</f>
        <v>0</v>
      </c>
      <c r="AK117" s="12">
        <f>Weights!$E$12*Index!E117/P117</f>
        <v>0.18457500406939478</v>
      </c>
      <c r="AL117" s="12">
        <f>Weights!$E$13*Index!F117/Q117</f>
        <v>0.32845522116927539</v>
      </c>
      <c r="AM117" s="12">
        <f>Weights!$E$14*Index!G117/R117</f>
        <v>0</v>
      </c>
      <c r="AN117" s="12">
        <f>Weights!$E$15*Index!H117/S117</f>
        <v>0.22377527701646782</v>
      </c>
      <c r="AO117" s="12">
        <f>Weights!$E$16*Index!I117/T117</f>
        <v>0</v>
      </c>
      <c r="AP117" s="12">
        <f>Weights!$E$17*Index!J117/U117</f>
        <v>0.25</v>
      </c>
      <c r="AQ117" s="45">
        <f t="shared" si="44"/>
        <v>101.83238845271831</v>
      </c>
    </row>
    <row r="118" spans="1:43" x14ac:dyDescent="0.25">
      <c r="A118" s="8">
        <v>46138</v>
      </c>
      <c r="B118" s="22">
        <v>115.2812</v>
      </c>
      <c r="C118" s="22">
        <v>138.24</v>
      </c>
      <c r="D118" s="22">
        <v>159.14421300000001</v>
      </c>
      <c r="E118" s="22">
        <v>127.846092</v>
      </c>
      <c r="F118" s="22">
        <v>18597.509999999998</v>
      </c>
      <c r="G118" s="22">
        <v>363.41</v>
      </c>
      <c r="H118" s="22">
        <v>2713.84</v>
      </c>
      <c r="I118" s="22">
        <v>610.74</v>
      </c>
      <c r="J118" s="22">
        <v>393.36</v>
      </c>
      <c r="K118" s="9" t="str">
        <f t="shared" si="41"/>
        <v/>
      </c>
      <c r="L118" s="10">
        <f t="shared" si="42"/>
        <v>92</v>
      </c>
      <c r="M118" s="27">
        <f t="shared" si="45"/>
        <v>115.2873</v>
      </c>
      <c r="N118" s="14">
        <f t="shared" si="46"/>
        <v>138.72</v>
      </c>
      <c r="O118" s="14">
        <f t="shared" si="47"/>
        <v>158.58182600000001</v>
      </c>
      <c r="P118" s="14">
        <f t="shared" si="48"/>
        <v>128.88927799999999</v>
      </c>
      <c r="Q118" s="14">
        <f t="shared" si="49"/>
        <v>17835.66</v>
      </c>
      <c r="R118" s="14">
        <f t="shared" si="50"/>
        <v>336.24</v>
      </c>
      <c r="S118" s="14">
        <f t="shared" si="51"/>
        <v>2546.7800000000002</v>
      </c>
      <c r="T118" s="14">
        <f t="shared" si="52"/>
        <v>575.76</v>
      </c>
      <c r="U118" s="14">
        <f t="shared" si="53"/>
        <v>393.36</v>
      </c>
      <c r="V118" s="36">
        <f t="shared" si="54"/>
        <v>99.045220753728984</v>
      </c>
      <c r="W118" s="13">
        <f>Weights!$B$9*Index!B118/Index!M118</f>
        <v>2.9998412661238486E-2</v>
      </c>
      <c r="X118" s="13">
        <f>Weights!$B$10*Index!C118/Index!N118</f>
        <v>0.24913494809688583</v>
      </c>
      <c r="Y118" s="13">
        <f>Weights!$B$11*Index!D118/Index!O118</f>
        <v>7.0248244650682745E-2</v>
      </c>
      <c r="Z118" s="13">
        <f>Weights!$B$12*Index!E118/Index!P118</f>
        <v>1.9838126799034444E-2</v>
      </c>
      <c r="AA118" s="13">
        <f>Weights!$B$13*Index!F118/Index!Q118</f>
        <v>0.13555294841906607</v>
      </c>
      <c r="AB118" s="13">
        <f>Weights!$B$14*Index!G118/Index!R118</f>
        <v>0.21616107542231738</v>
      </c>
      <c r="AC118" s="13">
        <f>Weights!$B$15*Index!H118/Index!S118</f>
        <v>5.3279827861063771E-2</v>
      </c>
      <c r="AD118" s="13">
        <f>Weights!$B$16*Index!I118/Index!T118</f>
        <v>0</v>
      </c>
      <c r="AE118" s="13">
        <f>Weights!$B$17*Index!J118/Index!U118</f>
        <v>0.25</v>
      </c>
      <c r="AF118" s="20">
        <f t="shared" si="43"/>
        <v>101.44346051736248</v>
      </c>
      <c r="AG118" s="35">
        <f t="shared" si="55"/>
        <v>99.285524733630098</v>
      </c>
      <c r="AH118" s="12">
        <f>Weights!$E$9*Index!B118/M118</f>
        <v>1.8242277969672056E-2</v>
      </c>
      <c r="AI118" s="12">
        <f>Weights!$E$10*Index!C118/N118</f>
        <v>2.0604133545310016E-2</v>
      </c>
      <c r="AJ118" s="12">
        <f>Weights!$E$11*Index!D118/O118</f>
        <v>0</v>
      </c>
      <c r="AK118" s="12">
        <f>Weights!$E$12*Index!E118/P118</f>
        <v>0.18457500406939478</v>
      </c>
      <c r="AL118" s="12">
        <f>Weights!$E$13*Index!F118/Q118</f>
        <v>0.32845522116927539</v>
      </c>
      <c r="AM118" s="12">
        <f>Weights!$E$14*Index!G118/R118</f>
        <v>0</v>
      </c>
      <c r="AN118" s="12">
        <f>Weights!$E$15*Index!H118/S118</f>
        <v>0.22377527701646782</v>
      </c>
      <c r="AO118" s="12">
        <f>Weights!$E$16*Index!I118/T118</f>
        <v>0</v>
      </c>
      <c r="AP118" s="12">
        <f>Weights!$E$17*Index!J118/U118</f>
        <v>0.25</v>
      </c>
      <c r="AQ118" s="45">
        <f t="shared" si="44"/>
        <v>101.83238845271831</v>
      </c>
    </row>
    <row r="119" spans="1:43" x14ac:dyDescent="0.25">
      <c r="A119" s="8">
        <v>46139</v>
      </c>
      <c r="B119" s="22">
        <v>115.2804</v>
      </c>
      <c r="C119" s="22">
        <v>138.38</v>
      </c>
      <c r="D119" s="22">
        <v>158.89277799999999</v>
      </c>
      <c r="E119" s="22">
        <v>127.559727</v>
      </c>
      <c r="F119" s="22">
        <v>18575.05</v>
      </c>
      <c r="G119" s="22">
        <v>363.41</v>
      </c>
      <c r="H119" s="22">
        <v>2710.83</v>
      </c>
      <c r="I119" s="22">
        <v>611.03</v>
      </c>
      <c r="J119" s="22">
        <v>393.36</v>
      </c>
      <c r="K119" s="9" t="str">
        <f t="shared" si="41"/>
        <v/>
      </c>
      <c r="L119" s="10">
        <f t="shared" si="42"/>
        <v>92</v>
      </c>
      <c r="M119" s="27">
        <f t="shared" si="45"/>
        <v>115.2873</v>
      </c>
      <c r="N119" s="14">
        <f t="shared" si="46"/>
        <v>138.72</v>
      </c>
      <c r="O119" s="14">
        <f t="shared" si="47"/>
        <v>158.58182600000001</v>
      </c>
      <c r="P119" s="14">
        <f t="shared" si="48"/>
        <v>128.88927799999999</v>
      </c>
      <c r="Q119" s="14">
        <f t="shared" si="49"/>
        <v>17835.66</v>
      </c>
      <c r="R119" s="14">
        <f t="shared" si="50"/>
        <v>336.24</v>
      </c>
      <c r="S119" s="14">
        <f t="shared" si="51"/>
        <v>2546.7800000000002</v>
      </c>
      <c r="T119" s="14">
        <f t="shared" si="52"/>
        <v>575.76</v>
      </c>
      <c r="U119" s="14">
        <f t="shared" si="53"/>
        <v>393.36</v>
      </c>
      <c r="V119" s="36">
        <f t="shared" si="54"/>
        <v>99.045220753728984</v>
      </c>
      <c r="W119" s="13">
        <f>Weights!$B$9*Index!B119/Index!M119</f>
        <v>2.9998204485663208E-2</v>
      </c>
      <c r="X119" s="13">
        <f>Weights!$B$10*Index!C119/Index!N119</f>
        <v>0.24938725490196079</v>
      </c>
      <c r="Y119" s="13">
        <f>Weights!$B$11*Index!D119/Index!O119</f>
        <v>7.0137258099172095E-2</v>
      </c>
      <c r="Z119" s="13">
        <f>Weights!$B$12*Index!E119/Index!P119</f>
        <v>1.9793690984908768E-2</v>
      </c>
      <c r="AA119" s="13">
        <f>Weights!$B$13*Index!F119/Index!Q119</f>
        <v>0.13538924267450714</v>
      </c>
      <c r="AB119" s="13">
        <f>Weights!$B$14*Index!G119/Index!R119</f>
        <v>0.21616107542231738</v>
      </c>
      <c r="AC119" s="13">
        <f>Weights!$B$15*Index!H119/Index!S119</f>
        <v>5.3220733632272914E-2</v>
      </c>
      <c r="AD119" s="13">
        <f>Weights!$B$16*Index!I119/Index!T119</f>
        <v>0</v>
      </c>
      <c r="AE119" s="13">
        <f>Weights!$B$17*Index!J119/Index!U119</f>
        <v>0.25</v>
      </c>
      <c r="AF119" s="20">
        <f t="shared" si="43"/>
        <v>101.43096856671409</v>
      </c>
      <c r="AG119" s="35">
        <f t="shared" si="55"/>
        <v>99.285524733630098</v>
      </c>
      <c r="AH119" s="12">
        <f>Weights!$E$9*Index!B119/M119</f>
        <v>1.8242151376416816E-2</v>
      </c>
      <c r="AI119" s="12">
        <f>Weights!$E$10*Index!C119/N119</f>
        <v>2.0625000000000001E-2</v>
      </c>
      <c r="AJ119" s="12">
        <f>Weights!$E$11*Index!D119/O119</f>
        <v>0</v>
      </c>
      <c r="AK119" s="12">
        <f>Weights!$E$12*Index!E119/P119</f>
        <v>0.18416157085283363</v>
      </c>
      <c r="AL119" s="12">
        <f>Weights!$E$13*Index!F119/Q119</f>
        <v>0.32805854955745956</v>
      </c>
      <c r="AM119" s="12">
        <f>Weights!$E$14*Index!G119/R119</f>
        <v>0</v>
      </c>
      <c r="AN119" s="12">
        <f>Weights!$E$15*Index!H119/S119</f>
        <v>0.22352708125554618</v>
      </c>
      <c r="AO119" s="12">
        <f>Weights!$E$16*Index!I119/T119</f>
        <v>0</v>
      </c>
      <c r="AP119" s="12">
        <f>Weights!$E$17*Index!J119/U119</f>
        <v>0.25</v>
      </c>
      <c r="AQ119" s="45">
        <f t="shared" si="44"/>
        <v>101.72937369140934</v>
      </c>
    </row>
    <row r="120" spans="1:43" x14ac:dyDescent="0.25">
      <c r="A120" s="8">
        <v>46140</v>
      </c>
      <c r="B120" s="22">
        <v>115.28019999999999</v>
      </c>
      <c r="C120" s="22">
        <v>138.28</v>
      </c>
      <c r="D120" s="22">
        <v>158.725617</v>
      </c>
      <c r="E120" s="22">
        <v>128.157399</v>
      </c>
      <c r="F120" s="22">
        <v>18537.939999999999</v>
      </c>
      <c r="G120" s="22">
        <v>362.11</v>
      </c>
      <c r="H120" s="22">
        <v>2716.42</v>
      </c>
      <c r="I120" s="22">
        <v>609.58000000000004</v>
      </c>
      <c r="J120" s="22">
        <v>393.36</v>
      </c>
      <c r="K120" s="9" t="str">
        <f t="shared" si="41"/>
        <v/>
      </c>
      <c r="L120" s="10">
        <f t="shared" si="42"/>
        <v>92</v>
      </c>
      <c r="M120" s="27">
        <f t="shared" si="45"/>
        <v>115.2873</v>
      </c>
      <c r="N120" s="14">
        <f t="shared" si="46"/>
        <v>138.72</v>
      </c>
      <c r="O120" s="14">
        <f t="shared" si="47"/>
        <v>158.58182600000001</v>
      </c>
      <c r="P120" s="14">
        <f t="shared" si="48"/>
        <v>128.88927799999999</v>
      </c>
      <c r="Q120" s="14">
        <f t="shared" si="49"/>
        <v>17835.66</v>
      </c>
      <c r="R120" s="14">
        <f t="shared" si="50"/>
        <v>336.24</v>
      </c>
      <c r="S120" s="14">
        <f t="shared" si="51"/>
        <v>2546.7800000000002</v>
      </c>
      <c r="T120" s="14">
        <f t="shared" si="52"/>
        <v>575.76</v>
      </c>
      <c r="U120" s="14">
        <f t="shared" si="53"/>
        <v>393.36</v>
      </c>
      <c r="V120" s="36">
        <f t="shared" si="54"/>
        <v>99.045220753728984</v>
      </c>
      <c r="W120" s="13">
        <f>Weights!$B$9*Index!B120/Index!M120</f>
        <v>2.9998152441769385E-2</v>
      </c>
      <c r="X120" s="13">
        <f>Weights!$B$10*Index!C120/Index!N120</f>
        <v>0.24920703575547867</v>
      </c>
      <c r="Y120" s="13">
        <f>Weights!$B$11*Index!D120/Index!O120</f>
        <v>7.0063471144543393E-2</v>
      </c>
      <c r="Z120" s="13">
        <f>Weights!$B$12*Index!E120/Index!P120</f>
        <v>1.9886432911820642E-2</v>
      </c>
      <c r="AA120" s="13">
        <f>Weights!$B$13*Index!F120/Index!Q120</f>
        <v>0.13511875646878219</v>
      </c>
      <c r="AB120" s="13">
        <f>Weights!$B$14*Index!G120/Index!R120</f>
        <v>0.21538781822507735</v>
      </c>
      <c r="AC120" s="13">
        <f>Weights!$B$15*Index!H120/Index!S120</f>
        <v>5.3330480057170226E-2</v>
      </c>
      <c r="AD120" s="13">
        <f>Weights!$B$16*Index!I120/Index!T120</f>
        <v>0</v>
      </c>
      <c r="AE120" s="13">
        <f>Weights!$B$17*Index!J120/Index!U120</f>
        <v>0.25</v>
      </c>
      <c r="AF120" s="20">
        <f t="shared" si="43"/>
        <v>101.32248302940592</v>
      </c>
      <c r="AG120" s="35">
        <f t="shared" si="55"/>
        <v>99.285524733630098</v>
      </c>
      <c r="AH120" s="12">
        <f>Weights!$E$9*Index!B120/M120</f>
        <v>1.824211972810301E-2</v>
      </c>
      <c r="AI120" s="12">
        <f>Weights!$E$10*Index!C120/N120</f>
        <v>2.0610095389507154E-2</v>
      </c>
      <c r="AJ120" s="12">
        <f>Weights!$E$11*Index!D120/O120</f>
        <v>0</v>
      </c>
      <c r="AK120" s="12">
        <f>Weights!$E$12*Index!E120/P120</f>
        <v>0.18502444675389881</v>
      </c>
      <c r="AL120" s="12">
        <f>Weights!$E$13*Index!F120/Q120</f>
        <v>0.32740314067435677</v>
      </c>
      <c r="AM120" s="12">
        <f>Weights!$E$14*Index!G120/R120</f>
        <v>0</v>
      </c>
      <c r="AN120" s="12">
        <f>Weights!$E$15*Index!H120/S120</f>
        <v>0.22398801624011491</v>
      </c>
      <c r="AO120" s="12">
        <f>Weights!$E$16*Index!I120/T120</f>
        <v>0</v>
      </c>
      <c r="AP120" s="12">
        <f>Weights!$E$17*Index!J120/U120</f>
        <v>0.25</v>
      </c>
      <c r="AQ120" s="45">
        <f t="shared" si="44"/>
        <v>101.79425338067047</v>
      </c>
    </row>
    <row r="121" spans="1:43" x14ac:dyDescent="0.25">
      <c r="A121" s="8">
        <v>46141</v>
      </c>
      <c r="B121" s="22">
        <v>115.2799</v>
      </c>
      <c r="C121" s="22">
        <v>138.18</v>
      </c>
      <c r="D121" s="22">
        <v>158.32139000000001</v>
      </c>
      <c r="E121" s="22">
        <v>127.753197</v>
      </c>
      <c r="F121" s="22">
        <v>18395.240000000002</v>
      </c>
      <c r="G121" s="22">
        <v>361.61</v>
      </c>
      <c r="H121" s="22">
        <v>2711.1</v>
      </c>
      <c r="I121" s="22">
        <v>605.70000000000005</v>
      </c>
      <c r="J121" s="22">
        <v>393.36</v>
      </c>
      <c r="K121" s="9" t="str">
        <f t="shared" si="41"/>
        <v/>
      </c>
      <c r="L121" s="10">
        <f t="shared" si="42"/>
        <v>92</v>
      </c>
      <c r="M121" s="27">
        <f t="shared" si="45"/>
        <v>115.2873</v>
      </c>
      <c r="N121" s="14">
        <f t="shared" si="46"/>
        <v>138.72</v>
      </c>
      <c r="O121" s="14">
        <f t="shared" si="47"/>
        <v>158.58182600000001</v>
      </c>
      <c r="P121" s="14">
        <f t="shared" si="48"/>
        <v>128.88927799999999</v>
      </c>
      <c r="Q121" s="14">
        <f t="shared" si="49"/>
        <v>17835.66</v>
      </c>
      <c r="R121" s="14">
        <f t="shared" si="50"/>
        <v>336.24</v>
      </c>
      <c r="S121" s="14">
        <f t="shared" si="51"/>
        <v>2546.7800000000002</v>
      </c>
      <c r="T121" s="14">
        <f t="shared" si="52"/>
        <v>575.76</v>
      </c>
      <c r="U121" s="14">
        <f t="shared" si="53"/>
        <v>393.36</v>
      </c>
      <c r="V121" s="36">
        <f t="shared" si="54"/>
        <v>99.045220753728984</v>
      </c>
      <c r="W121" s="13">
        <f>Weights!$B$9*Index!B121/Index!M121</f>
        <v>2.9998074375928656E-2</v>
      </c>
      <c r="X121" s="13">
        <f>Weights!$B$10*Index!C121/Index!N121</f>
        <v>0.24902681660899656</v>
      </c>
      <c r="Y121" s="13">
        <f>Weights!$B$11*Index!D121/Index!O121</f>
        <v>6.9885040294592152E-2</v>
      </c>
      <c r="Z121" s="13">
        <f>Weights!$B$12*Index!E121/Index!P121</f>
        <v>1.9823712101172609E-2</v>
      </c>
      <c r="AA121" s="13">
        <f>Weights!$B$13*Index!F121/Index!Q121</f>
        <v>0.13407864917810725</v>
      </c>
      <c r="AB121" s="13">
        <f>Weights!$B$14*Index!G121/Index!R121</f>
        <v>0.21509041161075423</v>
      </c>
      <c r="AC121" s="13">
        <f>Weights!$B$15*Index!H121/Index!S121</f>
        <v>5.3226034443493352E-2</v>
      </c>
      <c r="AD121" s="13">
        <f>Weights!$B$16*Index!I121/Index!T121</f>
        <v>0</v>
      </c>
      <c r="AE121" s="13">
        <f>Weights!$B$17*Index!J121/Index!U121</f>
        <v>0.25</v>
      </c>
      <c r="AF121" s="20">
        <f t="shared" si="43"/>
        <v>101.13792133390587</v>
      </c>
      <c r="AG121" s="35">
        <f t="shared" si="55"/>
        <v>99.285524733630098</v>
      </c>
      <c r="AH121" s="12">
        <f>Weights!$E$9*Index!B121/M121</f>
        <v>1.8242072255632295E-2</v>
      </c>
      <c r="AI121" s="12">
        <f>Weights!$E$10*Index!C121/N121</f>
        <v>2.0595190779014311E-2</v>
      </c>
      <c r="AJ121" s="12">
        <f>Weights!$E$11*Index!D121/O121</f>
        <v>0</v>
      </c>
      <c r="AK121" s="12">
        <f>Weights!$E$12*Index!E121/P121</f>
        <v>0.18444088894131541</v>
      </c>
      <c r="AL121" s="12">
        <f>Weights!$E$13*Index!F121/Q121</f>
        <v>0.32488288070079824</v>
      </c>
      <c r="AM121" s="12">
        <f>Weights!$E$14*Index!G121/R121</f>
        <v>0</v>
      </c>
      <c r="AN121" s="12">
        <f>Weights!$E$15*Index!H121/S121</f>
        <v>0.22354934466267201</v>
      </c>
      <c r="AO121" s="12">
        <f>Weights!$E$16*Index!I121/T121</f>
        <v>0</v>
      </c>
      <c r="AP121" s="12">
        <f>Weights!$E$17*Index!J121/U121</f>
        <v>0.25</v>
      </c>
      <c r="AQ121" s="45">
        <f t="shared" si="44"/>
        <v>101.44105093994074</v>
      </c>
    </row>
    <row r="122" spans="1:43" x14ac:dyDescent="0.25">
      <c r="A122" s="8">
        <v>46142</v>
      </c>
      <c r="B122" s="22">
        <v>115.27970000000001</v>
      </c>
      <c r="C122" s="22">
        <v>138.38</v>
      </c>
      <c r="D122" s="22">
        <v>158.48382800000002</v>
      </c>
      <c r="E122" s="22">
        <v>127.003512</v>
      </c>
      <c r="F122" s="22">
        <v>18551.09</v>
      </c>
      <c r="G122" s="22">
        <v>364.69</v>
      </c>
      <c r="H122" s="22">
        <v>2716.38</v>
      </c>
      <c r="I122" s="22">
        <v>597.71</v>
      </c>
      <c r="J122" s="22">
        <v>394.46</v>
      </c>
      <c r="K122" s="9" t="str">
        <f t="shared" si="41"/>
        <v>✔</v>
      </c>
      <c r="L122" s="10">
        <f t="shared" si="42"/>
        <v>92</v>
      </c>
      <c r="M122" s="27">
        <f t="shared" si="45"/>
        <v>115.2873</v>
      </c>
      <c r="N122" s="14">
        <f t="shared" si="46"/>
        <v>138.72</v>
      </c>
      <c r="O122" s="14">
        <f t="shared" si="47"/>
        <v>158.58182600000001</v>
      </c>
      <c r="P122" s="14">
        <f t="shared" si="48"/>
        <v>128.88927799999999</v>
      </c>
      <c r="Q122" s="14">
        <f t="shared" si="49"/>
        <v>17835.66</v>
      </c>
      <c r="R122" s="14">
        <f t="shared" si="50"/>
        <v>336.24</v>
      </c>
      <c r="S122" s="14">
        <f t="shared" si="51"/>
        <v>2546.7800000000002</v>
      </c>
      <c r="T122" s="14">
        <f t="shared" si="52"/>
        <v>575.76</v>
      </c>
      <c r="U122" s="14">
        <f t="shared" si="53"/>
        <v>393.36</v>
      </c>
      <c r="V122" s="36">
        <f t="shared" si="54"/>
        <v>99.045220753728984</v>
      </c>
      <c r="W122" s="13">
        <f>Weights!$B$9*Index!B122/Index!M122</f>
        <v>2.999802233203484E-2</v>
      </c>
      <c r="X122" s="13">
        <f>Weights!$B$10*Index!C122/Index!N122</f>
        <v>0.24938725490196079</v>
      </c>
      <c r="Y122" s="13">
        <f>Weights!$B$11*Index!D122/Index!O122</f>
        <v>6.9956742457991383E-2</v>
      </c>
      <c r="Z122" s="13">
        <f>Weights!$B$12*Index!E122/Index!P122</f>
        <v>1.9707382021334624E-2</v>
      </c>
      <c r="AA122" s="13">
        <f>Weights!$B$13*Index!F122/Index!Q122</f>
        <v>0.13521460377692782</v>
      </c>
      <c r="AB122" s="13">
        <f>Weights!$B$14*Index!G122/Index!R122</f>
        <v>0.21692243635498454</v>
      </c>
      <c r="AC122" s="13">
        <f>Weights!$B$15*Index!H122/Index!S122</f>
        <v>5.3329694751804241E-2</v>
      </c>
      <c r="AD122" s="13">
        <f>Weights!$B$16*Index!I122/Index!T122</f>
        <v>0</v>
      </c>
      <c r="AE122" s="13">
        <f>Weights!$B$17*Index!J122/Index!U122</f>
        <v>0.25069910514541383</v>
      </c>
      <c r="AF122" s="20">
        <f t="shared" si="43"/>
        <v>101.54266993846879</v>
      </c>
      <c r="AG122" s="35">
        <f t="shared" si="55"/>
        <v>99.285524733630098</v>
      </c>
      <c r="AH122" s="12">
        <f>Weights!$E$9*Index!B122/M122</f>
        <v>1.8242040607318485E-2</v>
      </c>
      <c r="AI122" s="12">
        <f>Weights!$E$10*Index!C122/N122</f>
        <v>2.0625000000000001E-2</v>
      </c>
      <c r="AJ122" s="12">
        <f>Weights!$E$11*Index!D122/O122</f>
        <v>0</v>
      </c>
      <c r="AK122" s="12">
        <f>Weights!$E$12*Index!E122/P122</f>
        <v>0.18335854759039039</v>
      </c>
      <c r="AL122" s="12">
        <f>Weights!$E$13*Index!F122/Q122</f>
        <v>0.32763538607486348</v>
      </c>
      <c r="AM122" s="12">
        <f>Weights!$E$14*Index!G122/R122</f>
        <v>0</v>
      </c>
      <c r="AN122" s="12">
        <f>Weights!$E$15*Index!H122/S122</f>
        <v>0.22398471795757774</v>
      </c>
      <c r="AO122" s="12">
        <f>Weights!$E$16*Index!I122/T122</f>
        <v>0</v>
      </c>
      <c r="AP122" s="12">
        <f>Weights!$E$17*Index!J122/U122</f>
        <v>0.25069910514541383</v>
      </c>
      <c r="AQ122" s="45">
        <f t="shared" si="44"/>
        <v>101.72246782054359</v>
      </c>
    </row>
    <row r="123" spans="1:43" x14ac:dyDescent="0.25">
      <c r="A123" s="8"/>
      <c r="M123" s="27"/>
      <c r="N123" s="14"/>
      <c r="O123" s="14"/>
      <c r="P123" s="14"/>
      <c r="Q123" s="14"/>
      <c r="R123" s="14"/>
      <c r="S123" s="14"/>
      <c r="T123" s="14"/>
      <c r="U123" s="14"/>
      <c r="W123" s="13"/>
      <c r="X123" s="13"/>
      <c r="Y123" s="13"/>
      <c r="Z123" s="13"/>
      <c r="AA123" s="13"/>
      <c r="AB123" s="13"/>
      <c r="AC123" s="13"/>
      <c r="AD123" s="13"/>
      <c r="AE123" s="13"/>
      <c r="AF123" s="2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1"/>
    </row>
    <row r="124" spans="1:43" x14ac:dyDescent="0.25">
      <c r="A124" s="8"/>
      <c r="M124" s="27"/>
      <c r="N124" s="14"/>
      <c r="O124" s="14"/>
      <c r="P124" s="14"/>
      <c r="Q124" s="14"/>
      <c r="R124" s="14"/>
      <c r="S124" s="14"/>
      <c r="T124" s="14"/>
      <c r="U124" s="14"/>
      <c r="W124" s="13"/>
      <c r="X124" s="13"/>
      <c r="Y124" s="13"/>
      <c r="Z124" s="13"/>
      <c r="AA124" s="13"/>
      <c r="AB124" s="13"/>
      <c r="AC124" s="13"/>
      <c r="AD124" s="13"/>
      <c r="AE124" s="13"/>
      <c r="AF124" s="2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1"/>
    </row>
    <row r="125" spans="1:43" x14ac:dyDescent="0.25">
      <c r="A125" s="8"/>
      <c r="M125" s="27"/>
      <c r="N125" s="14"/>
      <c r="O125" s="14"/>
      <c r="P125" s="14"/>
      <c r="Q125" s="14"/>
      <c r="R125" s="14"/>
      <c r="S125" s="14"/>
      <c r="T125" s="14"/>
      <c r="U125" s="14"/>
      <c r="W125" s="13"/>
      <c r="X125" s="13"/>
      <c r="Y125" s="13"/>
      <c r="Z125" s="13"/>
      <c r="AA125" s="13"/>
      <c r="AB125" s="13"/>
      <c r="AC125" s="13"/>
      <c r="AD125" s="13"/>
      <c r="AE125" s="13"/>
      <c r="AF125" s="2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1"/>
    </row>
    <row r="126" spans="1:43" x14ac:dyDescent="0.25">
      <c r="A126" s="8"/>
      <c r="M126" s="27"/>
      <c r="N126" s="14"/>
      <c r="O126" s="14"/>
      <c r="P126" s="14"/>
      <c r="Q126" s="14"/>
      <c r="R126" s="14"/>
      <c r="S126" s="14"/>
      <c r="T126" s="14"/>
      <c r="U126" s="14"/>
      <c r="W126" s="13"/>
      <c r="X126" s="13"/>
      <c r="Y126" s="13"/>
      <c r="Z126" s="13"/>
      <c r="AA126" s="13"/>
      <c r="AB126" s="13"/>
      <c r="AC126" s="13"/>
      <c r="AD126" s="13"/>
      <c r="AE126" s="13"/>
      <c r="AF126" s="2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1"/>
    </row>
    <row r="127" spans="1:43" x14ac:dyDescent="0.25">
      <c r="A127" s="8"/>
      <c r="M127" s="27"/>
      <c r="N127" s="14"/>
      <c r="O127" s="14"/>
      <c r="P127" s="14"/>
      <c r="Q127" s="14"/>
      <c r="R127" s="14"/>
      <c r="S127" s="14"/>
      <c r="T127" s="14"/>
      <c r="U127" s="14"/>
      <c r="W127" s="13"/>
      <c r="X127" s="13"/>
      <c r="Y127" s="13"/>
      <c r="Z127" s="13"/>
      <c r="AA127" s="13"/>
      <c r="AB127" s="13"/>
      <c r="AC127" s="13"/>
      <c r="AD127" s="13"/>
      <c r="AE127" s="13"/>
      <c r="AF127" s="2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1"/>
    </row>
    <row r="128" spans="1:43" x14ac:dyDescent="0.25">
      <c r="A128" s="8"/>
      <c r="M128" s="27"/>
      <c r="N128" s="14"/>
      <c r="O128" s="14"/>
      <c r="P128" s="14"/>
      <c r="Q128" s="14"/>
      <c r="R128" s="14"/>
      <c r="S128" s="14"/>
      <c r="T128" s="14"/>
      <c r="U128" s="14"/>
      <c r="W128" s="13"/>
      <c r="X128" s="13"/>
      <c r="Y128" s="13"/>
      <c r="Z128" s="13"/>
      <c r="AA128" s="13"/>
      <c r="AB128" s="13"/>
      <c r="AC128" s="13"/>
      <c r="AD128" s="13"/>
      <c r="AE128" s="13"/>
      <c r="AF128" s="2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1"/>
    </row>
    <row r="129" spans="1:43" x14ac:dyDescent="0.25">
      <c r="A129" s="8"/>
      <c r="M129" s="27"/>
      <c r="N129" s="14"/>
      <c r="O129" s="14"/>
      <c r="P129" s="14"/>
      <c r="Q129" s="14"/>
      <c r="R129" s="14"/>
      <c r="S129" s="14"/>
      <c r="T129" s="14"/>
      <c r="U129" s="14"/>
      <c r="W129" s="13"/>
      <c r="X129" s="13"/>
      <c r="Y129" s="13"/>
      <c r="Z129" s="13"/>
      <c r="AA129" s="13"/>
      <c r="AB129" s="13"/>
      <c r="AC129" s="13"/>
      <c r="AD129" s="13"/>
      <c r="AE129" s="13"/>
      <c r="AF129" s="2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1"/>
    </row>
    <row r="130" spans="1:43" x14ac:dyDescent="0.25">
      <c r="A130" s="8"/>
      <c r="M130" s="27"/>
      <c r="N130" s="14"/>
      <c r="O130" s="14"/>
      <c r="P130" s="14"/>
      <c r="Q130" s="14"/>
      <c r="R130" s="14"/>
      <c r="S130" s="14"/>
      <c r="T130" s="14"/>
      <c r="U130" s="14"/>
      <c r="W130" s="13"/>
      <c r="X130" s="13"/>
      <c r="Y130" s="13"/>
      <c r="Z130" s="13"/>
      <c r="AA130" s="13"/>
      <c r="AB130" s="13"/>
      <c r="AC130" s="13"/>
      <c r="AD130" s="13"/>
      <c r="AE130" s="13"/>
      <c r="AF130" s="2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1"/>
    </row>
    <row r="131" spans="1:43" x14ac:dyDescent="0.25">
      <c r="A131" s="8"/>
      <c r="M131" s="27"/>
      <c r="N131" s="14"/>
      <c r="O131" s="14"/>
      <c r="P131" s="14"/>
      <c r="Q131" s="14"/>
      <c r="R131" s="14"/>
      <c r="S131" s="14"/>
      <c r="T131" s="14"/>
      <c r="U131" s="14"/>
      <c r="W131" s="13"/>
      <c r="X131" s="13"/>
      <c r="Y131" s="13"/>
      <c r="Z131" s="13"/>
      <c r="AA131" s="13"/>
      <c r="AB131" s="13"/>
      <c r="AC131" s="13"/>
      <c r="AD131" s="13"/>
      <c r="AE131" s="13"/>
      <c r="AF131" s="2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1"/>
    </row>
    <row r="132" spans="1:43" x14ac:dyDescent="0.25">
      <c r="A132" s="8"/>
      <c r="M132" s="27"/>
      <c r="N132" s="14"/>
      <c r="O132" s="14"/>
      <c r="P132" s="14"/>
      <c r="Q132" s="14"/>
      <c r="R132" s="14"/>
      <c r="S132" s="14"/>
      <c r="T132" s="14"/>
      <c r="U132" s="14"/>
      <c r="W132" s="13"/>
      <c r="X132" s="13"/>
      <c r="Y132" s="13"/>
      <c r="Z132" s="13"/>
      <c r="AA132" s="13"/>
      <c r="AB132" s="13"/>
      <c r="AC132" s="13"/>
      <c r="AD132" s="13"/>
      <c r="AE132" s="13"/>
      <c r="AF132" s="2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1"/>
    </row>
    <row r="133" spans="1:43" x14ac:dyDescent="0.25">
      <c r="A133" s="8"/>
      <c r="M133" s="27"/>
      <c r="N133" s="14"/>
      <c r="O133" s="14"/>
      <c r="P133" s="14"/>
      <c r="Q133" s="14"/>
      <c r="R133" s="14"/>
      <c r="S133" s="14"/>
      <c r="T133" s="14"/>
      <c r="U133" s="14"/>
      <c r="W133" s="13"/>
      <c r="X133" s="13"/>
      <c r="Y133" s="13"/>
      <c r="Z133" s="13"/>
      <c r="AA133" s="13"/>
      <c r="AB133" s="13"/>
      <c r="AC133" s="13"/>
      <c r="AD133" s="13"/>
      <c r="AE133" s="13"/>
      <c r="AF133" s="2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1"/>
    </row>
    <row r="134" spans="1:43" x14ac:dyDescent="0.25">
      <c r="A134" s="8"/>
      <c r="M134" s="27"/>
      <c r="N134" s="14"/>
      <c r="O134" s="14"/>
      <c r="P134" s="14"/>
      <c r="Q134" s="14"/>
      <c r="R134" s="14"/>
      <c r="S134" s="14"/>
      <c r="T134" s="14"/>
      <c r="U134" s="14"/>
      <c r="W134" s="13"/>
      <c r="X134" s="13"/>
      <c r="Y134" s="13"/>
      <c r="Z134" s="13"/>
      <c r="AA134" s="13"/>
      <c r="AB134" s="13"/>
      <c r="AC134" s="13"/>
      <c r="AD134" s="13"/>
      <c r="AE134" s="13"/>
      <c r="AF134" s="2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1"/>
    </row>
    <row r="135" spans="1:43" x14ac:dyDescent="0.25">
      <c r="A135" s="8"/>
      <c r="M135" s="27"/>
      <c r="N135" s="14"/>
      <c r="O135" s="14"/>
      <c r="P135" s="14"/>
      <c r="Q135" s="14"/>
      <c r="R135" s="14"/>
      <c r="S135" s="14"/>
      <c r="T135" s="14"/>
      <c r="U135" s="14"/>
      <c r="W135" s="13"/>
      <c r="X135" s="13"/>
      <c r="Y135" s="13"/>
      <c r="Z135" s="13"/>
      <c r="AA135" s="13"/>
      <c r="AB135" s="13"/>
      <c r="AC135" s="13"/>
      <c r="AD135" s="13"/>
      <c r="AE135" s="13"/>
      <c r="AF135" s="2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1"/>
    </row>
    <row r="136" spans="1:43" x14ac:dyDescent="0.25">
      <c r="A136" s="8"/>
      <c r="M136" s="27"/>
      <c r="N136" s="14"/>
      <c r="O136" s="14"/>
      <c r="P136" s="14"/>
      <c r="Q136" s="14"/>
      <c r="R136" s="14"/>
      <c r="S136" s="14"/>
      <c r="T136" s="14"/>
      <c r="U136" s="14"/>
      <c r="W136" s="13"/>
      <c r="X136" s="13"/>
      <c r="Y136" s="13"/>
      <c r="Z136" s="13"/>
      <c r="AA136" s="13"/>
      <c r="AB136" s="13"/>
      <c r="AC136" s="13"/>
      <c r="AD136" s="13"/>
      <c r="AE136" s="13"/>
      <c r="AF136" s="2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1"/>
    </row>
    <row r="137" spans="1:43" x14ac:dyDescent="0.25">
      <c r="A137" s="8"/>
      <c r="M137" s="27"/>
      <c r="N137" s="14"/>
      <c r="O137" s="14"/>
      <c r="P137" s="14"/>
      <c r="Q137" s="14"/>
      <c r="R137" s="14"/>
      <c r="S137" s="14"/>
      <c r="T137" s="14"/>
      <c r="U137" s="14"/>
      <c r="W137" s="13"/>
      <c r="X137" s="13"/>
      <c r="Y137" s="13"/>
      <c r="Z137" s="13"/>
      <c r="AA137" s="13"/>
      <c r="AB137" s="13"/>
      <c r="AC137" s="13"/>
      <c r="AD137" s="13"/>
      <c r="AE137" s="13"/>
      <c r="AF137" s="2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1"/>
    </row>
    <row r="138" spans="1:43" x14ac:dyDescent="0.25">
      <c r="A138" s="8"/>
      <c r="M138" s="27"/>
      <c r="N138" s="14"/>
      <c r="O138" s="14"/>
      <c r="P138" s="14"/>
      <c r="Q138" s="14"/>
      <c r="R138" s="14"/>
      <c r="S138" s="14"/>
      <c r="T138" s="14"/>
      <c r="U138" s="14"/>
      <c r="W138" s="13"/>
      <c r="X138" s="13"/>
      <c r="Y138" s="13"/>
      <c r="Z138" s="13"/>
      <c r="AA138" s="13"/>
      <c r="AB138" s="13"/>
      <c r="AC138" s="13"/>
      <c r="AD138" s="13"/>
      <c r="AE138" s="13"/>
      <c r="AF138" s="2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1"/>
    </row>
    <row r="139" spans="1:43" x14ac:dyDescent="0.25">
      <c r="A139" s="8"/>
      <c r="M139" s="27"/>
      <c r="N139" s="14"/>
      <c r="O139" s="14"/>
      <c r="P139" s="14"/>
      <c r="Q139" s="14"/>
      <c r="R139" s="14"/>
      <c r="S139" s="14"/>
      <c r="T139" s="14"/>
      <c r="U139" s="14"/>
      <c r="W139" s="13"/>
      <c r="X139" s="13"/>
      <c r="Y139" s="13"/>
      <c r="Z139" s="13"/>
      <c r="AA139" s="13"/>
      <c r="AB139" s="13"/>
      <c r="AC139" s="13"/>
      <c r="AD139" s="13"/>
      <c r="AE139" s="13"/>
      <c r="AF139" s="2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1"/>
    </row>
    <row r="140" spans="1:43" x14ac:dyDescent="0.25">
      <c r="A140" s="8"/>
      <c r="M140" s="27"/>
      <c r="N140" s="14"/>
      <c r="O140" s="14"/>
      <c r="P140" s="14"/>
      <c r="Q140" s="14"/>
      <c r="R140" s="14"/>
      <c r="S140" s="14"/>
      <c r="T140" s="14"/>
      <c r="U140" s="14"/>
      <c r="W140" s="13"/>
      <c r="X140" s="13"/>
      <c r="Y140" s="13"/>
      <c r="Z140" s="13"/>
      <c r="AA140" s="13"/>
      <c r="AB140" s="13"/>
      <c r="AC140" s="13"/>
      <c r="AD140" s="13"/>
      <c r="AE140" s="13"/>
      <c r="AF140" s="2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1"/>
    </row>
    <row r="141" spans="1:43" x14ac:dyDescent="0.25">
      <c r="A141" s="8"/>
      <c r="M141" s="27"/>
      <c r="N141" s="14"/>
      <c r="O141" s="14"/>
      <c r="P141" s="14"/>
      <c r="Q141" s="14"/>
      <c r="R141" s="14"/>
      <c r="S141" s="14"/>
      <c r="T141" s="14"/>
      <c r="U141" s="14"/>
      <c r="W141" s="13"/>
      <c r="X141" s="13"/>
      <c r="Y141" s="13"/>
      <c r="Z141" s="13"/>
      <c r="AA141" s="13"/>
      <c r="AB141" s="13"/>
      <c r="AC141" s="13"/>
      <c r="AD141" s="13"/>
      <c r="AE141" s="13"/>
      <c r="AF141" s="2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1"/>
    </row>
    <row r="142" spans="1:43" x14ac:dyDescent="0.25">
      <c r="A142" s="8"/>
      <c r="M142" s="27"/>
      <c r="N142" s="14"/>
      <c r="O142" s="14"/>
      <c r="P142" s="14"/>
      <c r="Q142" s="14"/>
      <c r="R142" s="14"/>
      <c r="S142" s="14"/>
      <c r="T142" s="14"/>
      <c r="U142" s="14"/>
      <c r="W142" s="13"/>
      <c r="X142" s="13"/>
      <c r="Y142" s="13"/>
      <c r="Z142" s="13"/>
      <c r="AA142" s="13"/>
      <c r="AB142" s="13"/>
      <c r="AC142" s="13"/>
      <c r="AD142" s="13"/>
      <c r="AE142" s="13"/>
      <c r="AF142" s="2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1"/>
    </row>
    <row r="143" spans="1:43" x14ac:dyDescent="0.25">
      <c r="A143" s="8"/>
      <c r="M143" s="27"/>
      <c r="N143" s="14"/>
      <c r="O143" s="14"/>
      <c r="P143" s="14"/>
      <c r="Q143" s="14"/>
      <c r="R143" s="14"/>
      <c r="S143" s="14"/>
      <c r="T143" s="14"/>
      <c r="U143" s="14"/>
      <c r="W143" s="13"/>
      <c r="X143" s="13"/>
      <c r="Y143" s="13"/>
      <c r="Z143" s="13"/>
      <c r="AA143" s="13"/>
      <c r="AB143" s="13"/>
      <c r="AC143" s="13"/>
      <c r="AD143" s="13"/>
      <c r="AE143" s="13"/>
      <c r="AF143" s="2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1"/>
    </row>
    <row r="144" spans="1:43" x14ac:dyDescent="0.25">
      <c r="A144" s="8"/>
      <c r="M144" s="27"/>
      <c r="N144" s="14"/>
      <c r="O144" s="14"/>
      <c r="P144" s="14"/>
      <c r="Q144" s="14"/>
      <c r="R144" s="14"/>
      <c r="S144" s="14"/>
      <c r="T144" s="14"/>
      <c r="U144" s="14"/>
      <c r="W144" s="13"/>
      <c r="X144" s="13"/>
      <c r="Y144" s="13"/>
      <c r="Z144" s="13"/>
      <c r="AA144" s="13"/>
      <c r="AB144" s="13"/>
      <c r="AC144" s="13"/>
      <c r="AD144" s="13"/>
      <c r="AE144" s="13"/>
      <c r="AF144" s="2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1"/>
    </row>
    <row r="145" spans="1:43" x14ac:dyDescent="0.25">
      <c r="A145" s="8"/>
      <c r="M145" s="27"/>
      <c r="N145" s="14"/>
      <c r="O145" s="14"/>
      <c r="P145" s="14"/>
      <c r="Q145" s="14"/>
      <c r="R145" s="14"/>
      <c r="S145" s="14"/>
      <c r="T145" s="14"/>
      <c r="U145" s="14"/>
      <c r="W145" s="13"/>
      <c r="X145" s="13"/>
      <c r="Y145" s="13"/>
      <c r="Z145" s="13"/>
      <c r="AA145" s="13"/>
      <c r="AB145" s="13"/>
      <c r="AC145" s="13"/>
      <c r="AD145" s="13"/>
      <c r="AE145" s="13"/>
      <c r="AF145" s="2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1"/>
    </row>
    <row r="146" spans="1:43" x14ac:dyDescent="0.25">
      <c r="A146" s="8"/>
      <c r="M146" s="27"/>
      <c r="N146" s="14"/>
      <c r="O146" s="14"/>
      <c r="P146" s="14"/>
      <c r="Q146" s="14"/>
      <c r="R146" s="14"/>
      <c r="S146" s="14"/>
      <c r="T146" s="14"/>
      <c r="U146" s="14"/>
      <c r="W146" s="13"/>
      <c r="X146" s="13"/>
      <c r="Y146" s="13"/>
      <c r="Z146" s="13"/>
      <c r="AA146" s="13"/>
      <c r="AB146" s="13"/>
      <c r="AC146" s="13"/>
      <c r="AD146" s="13"/>
      <c r="AE146" s="13"/>
      <c r="AF146" s="2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1"/>
    </row>
    <row r="147" spans="1:43" x14ac:dyDescent="0.25">
      <c r="A147" s="8"/>
      <c r="M147" s="27"/>
      <c r="N147" s="14"/>
      <c r="O147" s="14"/>
      <c r="P147" s="14"/>
      <c r="Q147" s="14"/>
      <c r="R147" s="14"/>
      <c r="S147" s="14"/>
      <c r="T147" s="14"/>
      <c r="U147" s="14"/>
      <c r="W147" s="13"/>
      <c r="X147" s="13"/>
      <c r="Y147" s="13"/>
      <c r="Z147" s="13"/>
      <c r="AA147" s="13"/>
      <c r="AB147" s="13"/>
      <c r="AC147" s="13"/>
      <c r="AD147" s="13"/>
      <c r="AE147" s="13"/>
      <c r="AF147" s="2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1"/>
    </row>
    <row r="148" spans="1:43" x14ac:dyDescent="0.25">
      <c r="A148" s="8"/>
      <c r="M148" s="27"/>
      <c r="N148" s="14"/>
      <c r="O148" s="14"/>
      <c r="P148" s="14"/>
      <c r="Q148" s="14"/>
      <c r="R148" s="14"/>
      <c r="S148" s="14"/>
      <c r="T148" s="14"/>
      <c r="U148" s="14"/>
      <c r="W148" s="13"/>
      <c r="X148" s="13"/>
      <c r="Y148" s="13"/>
      <c r="Z148" s="13"/>
      <c r="AA148" s="13"/>
      <c r="AB148" s="13"/>
      <c r="AC148" s="13"/>
      <c r="AD148" s="13"/>
      <c r="AE148" s="13"/>
      <c r="AF148" s="2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1"/>
    </row>
    <row r="149" spans="1:43" x14ac:dyDescent="0.25">
      <c r="A149" s="8"/>
      <c r="M149" s="27"/>
      <c r="N149" s="14"/>
      <c r="O149" s="14"/>
      <c r="P149" s="14"/>
      <c r="Q149" s="14"/>
      <c r="R149" s="14"/>
      <c r="S149" s="14"/>
      <c r="T149" s="14"/>
      <c r="U149" s="14"/>
      <c r="W149" s="13"/>
      <c r="X149" s="13"/>
      <c r="Y149" s="13"/>
      <c r="Z149" s="13"/>
      <c r="AA149" s="13"/>
      <c r="AB149" s="13"/>
      <c r="AC149" s="13"/>
      <c r="AD149" s="13"/>
      <c r="AE149" s="13"/>
      <c r="AF149" s="2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1"/>
    </row>
    <row r="150" spans="1:43" x14ac:dyDescent="0.25">
      <c r="A150" s="8"/>
      <c r="M150" s="27"/>
      <c r="N150" s="14"/>
      <c r="O150" s="14"/>
      <c r="P150" s="14"/>
      <c r="Q150" s="14"/>
      <c r="R150" s="14"/>
      <c r="S150" s="14"/>
      <c r="T150" s="14"/>
      <c r="U150" s="14"/>
      <c r="W150" s="13"/>
      <c r="X150" s="13"/>
      <c r="Y150" s="13"/>
      <c r="Z150" s="13"/>
      <c r="AA150" s="13"/>
      <c r="AB150" s="13"/>
      <c r="AC150" s="13"/>
      <c r="AD150" s="13"/>
      <c r="AE150" s="13"/>
      <c r="AF150" s="2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1"/>
    </row>
    <row r="151" spans="1:43" x14ac:dyDescent="0.25">
      <c r="A151" s="8"/>
      <c r="M151" s="27"/>
      <c r="N151" s="14"/>
      <c r="O151" s="14"/>
      <c r="P151" s="14"/>
      <c r="Q151" s="14"/>
      <c r="R151" s="14"/>
      <c r="S151" s="14"/>
      <c r="T151" s="14"/>
      <c r="U151" s="14"/>
      <c r="W151" s="13"/>
      <c r="X151" s="13"/>
      <c r="Y151" s="13"/>
      <c r="Z151" s="13"/>
      <c r="AA151" s="13"/>
      <c r="AB151" s="13"/>
      <c r="AC151" s="13"/>
      <c r="AD151" s="13"/>
      <c r="AE151" s="13"/>
      <c r="AF151" s="2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1"/>
    </row>
    <row r="152" spans="1:43" x14ac:dyDescent="0.25">
      <c r="A152" s="8"/>
      <c r="M152" s="27"/>
      <c r="N152" s="14"/>
      <c r="O152" s="14"/>
      <c r="P152" s="14"/>
      <c r="Q152" s="14"/>
      <c r="R152" s="14"/>
      <c r="S152" s="14"/>
      <c r="T152" s="14"/>
      <c r="U152" s="14"/>
      <c r="W152" s="13"/>
      <c r="X152" s="13"/>
      <c r="Y152" s="13"/>
      <c r="Z152" s="13"/>
      <c r="AA152" s="13"/>
      <c r="AB152" s="13"/>
      <c r="AC152" s="13"/>
      <c r="AD152" s="13"/>
      <c r="AE152" s="13"/>
      <c r="AF152" s="2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1"/>
    </row>
    <row r="153" spans="1:43" x14ac:dyDescent="0.25">
      <c r="A153" s="8"/>
      <c r="M153" s="27"/>
      <c r="N153" s="14"/>
      <c r="O153" s="14"/>
      <c r="P153" s="14"/>
      <c r="Q153" s="14"/>
      <c r="R153" s="14"/>
      <c r="S153" s="14"/>
      <c r="T153" s="14"/>
      <c r="U153" s="14"/>
      <c r="W153" s="13"/>
      <c r="X153" s="13"/>
      <c r="Y153" s="13"/>
      <c r="Z153" s="13"/>
      <c r="AA153" s="13"/>
      <c r="AB153" s="13"/>
      <c r="AC153" s="13"/>
      <c r="AD153" s="13"/>
      <c r="AE153" s="13"/>
      <c r="AF153" s="2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1"/>
    </row>
    <row r="154" spans="1:43" x14ac:dyDescent="0.25">
      <c r="A154" s="8"/>
      <c r="M154" s="27"/>
      <c r="N154" s="14"/>
      <c r="O154" s="14"/>
      <c r="P154" s="14"/>
      <c r="Q154" s="14"/>
      <c r="R154" s="14"/>
      <c r="S154" s="14"/>
      <c r="T154" s="14"/>
      <c r="U154" s="14"/>
      <c r="W154" s="13"/>
      <c r="X154" s="13"/>
      <c r="Y154" s="13"/>
      <c r="Z154" s="13"/>
      <c r="AA154" s="13"/>
      <c r="AB154" s="13"/>
      <c r="AC154" s="13"/>
      <c r="AD154" s="13"/>
      <c r="AE154" s="13"/>
      <c r="AF154" s="2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1"/>
    </row>
    <row r="155" spans="1:43" x14ac:dyDescent="0.25">
      <c r="A155" s="8"/>
      <c r="M155" s="27"/>
      <c r="N155" s="14"/>
      <c r="O155" s="14"/>
      <c r="P155" s="14"/>
      <c r="Q155" s="14"/>
      <c r="R155" s="14"/>
      <c r="S155" s="14"/>
      <c r="T155" s="14"/>
      <c r="U155" s="14"/>
      <c r="W155" s="13"/>
      <c r="X155" s="13"/>
      <c r="Y155" s="13"/>
      <c r="Z155" s="13"/>
      <c r="AA155" s="13"/>
      <c r="AB155" s="13"/>
      <c r="AC155" s="13"/>
      <c r="AD155" s="13"/>
      <c r="AE155" s="13"/>
      <c r="AF155" s="2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1"/>
    </row>
    <row r="156" spans="1:43" x14ac:dyDescent="0.25">
      <c r="A156" s="8"/>
      <c r="M156" s="27"/>
      <c r="N156" s="14"/>
      <c r="O156" s="14"/>
      <c r="P156" s="14"/>
      <c r="Q156" s="14"/>
      <c r="R156" s="14"/>
      <c r="S156" s="14"/>
      <c r="T156" s="14"/>
      <c r="U156" s="14"/>
      <c r="W156" s="13"/>
      <c r="X156" s="13"/>
      <c r="Y156" s="13"/>
      <c r="Z156" s="13"/>
      <c r="AA156" s="13"/>
      <c r="AB156" s="13"/>
      <c r="AC156" s="13"/>
      <c r="AD156" s="13"/>
      <c r="AE156" s="13"/>
      <c r="AF156" s="2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1"/>
    </row>
    <row r="157" spans="1:43" x14ac:dyDescent="0.25">
      <c r="A157" s="8"/>
      <c r="M157" s="27"/>
      <c r="N157" s="14"/>
      <c r="O157" s="14"/>
      <c r="P157" s="14"/>
      <c r="Q157" s="14"/>
      <c r="R157" s="14"/>
      <c r="S157" s="14"/>
      <c r="T157" s="14"/>
      <c r="U157" s="14"/>
      <c r="W157" s="13"/>
      <c r="X157" s="13"/>
      <c r="Y157" s="13"/>
      <c r="Z157" s="13"/>
      <c r="AA157" s="13"/>
      <c r="AB157" s="13"/>
      <c r="AC157" s="13"/>
      <c r="AD157" s="13"/>
      <c r="AE157" s="13"/>
      <c r="AF157" s="2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1"/>
    </row>
    <row r="158" spans="1:43" x14ac:dyDescent="0.25">
      <c r="A158" s="8"/>
      <c r="M158" s="27"/>
      <c r="N158" s="14"/>
      <c r="O158" s="14"/>
      <c r="P158" s="14"/>
      <c r="Q158" s="14"/>
      <c r="R158" s="14"/>
      <c r="S158" s="14"/>
      <c r="T158" s="14"/>
      <c r="U158" s="14"/>
      <c r="W158" s="13"/>
      <c r="X158" s="13"/>
      <c r="Y158" s="13"/>
      <c r="Z158" s="13"/>
      <c r="AA158" s="13"/>
      <c r="AB158" s="13"/>
      <c r="AC158" s="13"/>
      <c r="AD158" s="13"/>
      <c r="AE158" s="13"/>
      <c r="AF158" s="2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1"/>
    </row>
    <row r="159" spans="1:43" x14ac:dyDescent="0.25">
      <c r="A159" s="8"/>
      <c r="M159" s="27"/>
      <c r="N159" s="14"/>
      <c r="O159" s="14"/>
      <c r="P159" s="14"/>
      <c r="Q159" s="14"/>
      <c r="R159" s="14"/>
      <c r="S159" s="14"/>
      <c r="T159" s="14"/>
      <c r="U159" s="14"/>
      <c r="W159" s="13"/>
      <c r="X159" s="13"/>
      <c r="Y159" s="13"/>
      <c r="Z159" s="13"/>
      <c r="AA159" s="13"/>
      <c r="AB159" s="13"/>
      <c r="AC159" s="13"/>
      <c r="AD159" s="13"/>
      <c r="AE159" s="13"/>
      <c r="AF159" s="2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1"/>
    </row>
    <row r="160" spans="1:43" x14ac:dyDescent="0.25">
      <c r="A160" s="8"/>
      <c r="M160" s="27"/>
      <c r="N160" s="14"/>
      <c r="O160" s="14"/>
      <c r="P160" s="14"/>
      <c r="Q160" s="14"/>
      <c r="R160" s="14"/>
      <c r="S160" s="14"/>
      <c r="T160" s="14"/>
      <c r="U160" s="14"/>
      <c r="W160" s="13"/>
      <c r="X160" s="13"/>
      <c r="Y160" s="13"/>
      <c r="Z160" s="13"/>
      <c r="AA160" s="13"/>
      <c r="AB160" s="13"/>
      <c r="AC160" s="13"/>
      <c r="AD160" s="13"/>
      <c r="AE160" s="13"/>
      <c r="AF160" s="2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1"/>
    </row>
    <row r="161" spans="1:43" x14ac:dyDescent="0.25">
      <c r="A161" s="8"/>
      <c r="M161" s="27"/>
      <c r="N161" s="14"/>
      <c r="O161" s="14"/>
      <c r="P161" s="14"/>
      <c r="Q161" s="14"/>
      <c r="R161" s="14"/>
      <c r="S161" s="14"/>
      <c r="T161" s="14"/>
      <c r="U161" s="14"/>
      <c r="W161" s="13"/>
      <c r="X161" s="13"/>
      <c r="Y161" s="13"/>
      <c r="Z161" s="13"/>
      <c r="AA161" s="13"/>
      <c r="AB161" s="13"/>
      <c r="AC161" s="13"/>
      <c r="AD161" s="13"/>
      <c r="AE161" s="13"/>
      <c r="AF161" s="2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1"/>
    </row>
    <row r="162" spans="1:43" x14ac:dyDescent="0.25">
      <c r="A162" s="8"/>
      <c r="M162" s="27"/>
      <c r="N162" s="14"/>
      <c r="O162" s="14"/>
      <c r="P162" s="14"/>
      <c r="Q162" s="14"/>
      <c r="R162" s="14"/>
      <c r="S162" s="14"/>
      <c r="T162" s="14"/>
      <c r="U162" s="14"/>
      <c r="W162" s="13"/>
      <c r="X162" s="13"/>
      <c r="Y162" s="13"/>
      <c r="Z162" s="13"/>
      <c r="AA162" s="13"/>
      <c r="AB162" s="13"/>
      <c r="AC162" s="13"/>
      <c r="AD162" s="13"/>
      <c r="AE162" s="13"/>
      <c r="AF162" s="2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1"/>
    </row>
    <row r="163" spans="1:43" x14ac:dyDescent="0.25">
      <c r="A163" s="8"/>
      <c r="M163" s="27"/>
      <c r="N163" s="14"/>
      <c r="O163" s="14"/>
      <c r="P163" s="14"/>
      <c r="Q163" s="14"/>
      <c r="R163" s="14"/>
      <c r="S163" s="14"/>
      <c r="T163" s="14"/>
      <c r="U163" s="14"/>
      <c r="W163" s="13"/>
      <c r="X163" s="13"/>
      <c r="Y163" s="13"/>
      <c r="Z163" s="13"/>
      <c r="AA163" s="13"/>
      <c r="AB163" s="13"/>
      <c r="AC163" s="13"/>
      <c r="AD163" s="13"/>
      <c r="AE163" s="13"/>
      <c r="AF163" s="2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1"/>
    </row>
    <row r="164" spans="1:43" x14ac:dyDescent="0.25">
      <c r="A164" s="8"/>
      <c r="M164" s="27"/>
      <c r="N164" s="14"/>
      <c r="O164" s="14"/>
      <c r="P164" s="14"/>
      <c r="Q164" s="14"/>
      <c r="R164" s="14"/>
      <c r="S164" s="14"/>
      <c r="T164" s="14"/>
      <c r="U164" s="14"/>
      <c r="W164" s="13"/>
      <c r="X164" s="13"/>
      <c r="Y164" s="13"/>
      <c r="Z164" s="13"/>
      <c r="AA164" s="13"/>
      <c r="AB164" s="13"/>
      <c r="AC164" s="13"/>
      <c r="AD164" s="13"/>
      <c r="AE164" s="13"/>
      <c r="AF164" s="2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1"/>
    </row>
    <row r="165" spans="1:43" x14ac:dyDescent="0.25">
      <c r="A165" s="8"/>
      <c r="M165" s="27"/>
      <c r="N165" s="14"/>
      <c r="O165" s="14"/>
      <c r="P165" s="14"/>
      <c r="Q165" s="14"/>
      <c r="R165" s="14"/>
      <c r="S165" s="14"/>
      <c r="T165" s="14"/>
      <c r="U165" s="14"/>
      <c r="W165" s="13"/>
      <c r="X165" s="13"/>
      <c r="Y165" s="13"/>
      <c r="Z165" s="13"/>
      <c r="AA165" s="13"/>
      <c r="AB165" s="13"/>
      <c r="AC165" s="13"/>
      <c r="AD165" s="13"/>
      <c r="AE165" s="13"/>
      <c r="AF165" s="2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1"/>
    </row>
    <row r="166" spans="1:43" x14ac:dyDescent="0.25">
      <c r="A166" s="8"/>
      <c r="M166" s="27"/>
      <c r="N166" s="14"/>
      <c r="O166" s="14"/>
      <c r="P166" s="14"/>
      <c r="Q166" s="14"/>
      <c r="R166" s="14"/>
      <c r="S166" s="14"/>
      <c r="T166" s="14"/>
      <c r="U166" s="14"/>
      <c r="W166" s="13"/>
      <c r="X166" s="13"/>
      <c r="Y166" s="13"/>
      <c r="Z166" s="13"/>
      <c r="AA166" s="13"/>
      <c r="AB166" s="13"/>
      <c r="AC166" s="13"/>
      <c r="AD166" s="13"/>
      <c r="AE166" s="13"/>
      <c r="AF166" s="2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1"/>
    </row>
    <row r="167" spans="1:43" x14ac:dyDescent="0.25">
      <c r="A167" s="8"/>
      <c r="M167" s="27"/>
      <c r="N167" s="14"/>
      <c r="O167" s="14"/>
      <c r="P167" s="14"/>
      <c r="Q167" s="14"/>
      <c r="R167" s="14"/>
      <c r="S167" s="14"/>
      <c r="T167" s="14"/>
      <c r="U167" s="14"/>
      <c r="W167" s="13"/>
      <c r="X167" s="13"/>
      <c r="Y167" s="13"/>
      <c r="Z167" s="13"/>
      <c r="AA167" s="13"/>
      <c r="AB167" s="13"/>
      <c r="AC167" s="13"/>
      <c r="AD167" s="13"/>
      <c r="AE167" s="13"/>
      <c r="AF167" s="2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1"/>
    </row>
    <row r="168" spans="1:43" x14ac:dyDescent="0.25">
      <c r="A168" s="8"/>
      <c r="M168" s="27"/>
      <c r="N168" s="14"/>
      <c r="O168" s="14"/>
      <c r="P168" s="14"/>
      <c r="Q168" s="14"/>
      <c r="R168" s="14"/>
      <c r="S168" s="14"/>
      <c r="T168" s="14"/>
      <c r="U168" s="14"/>
      <c r="W168" s="13"/>
      <c r="X168" s="13"/>
      <c r="Y168" s="13"/>
      <c r="Z168" s="13"/>
      <c r="AA168" s="13"/>
      <c r="AB168" s="13"/>
      <c r="AC168" s="13"/>
      <c r="AD168" s="13"/>
      <c r="AE168" s="13"/>
      <c r="AF168" s="2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1"/>
    </row>
    <row r="169" spans="1:43" x14ac:dyDescent="0.25">
      <c r="A169" s="8"/>
      <c r="M169" s="27"/>
      <c r="N169" s="14"/>
      <c r="O169" s="14"/>
      <c r="P169" s="14"/>
      <c r="Q169" s="14"/>
      <c r="R169" s="14"/>
      <c r="S169" s="14"/>
      <c r="T169" s="14"/>
      <c r="U169" s="14"/>
      <c r="W169" s="13"/>
      <c r="X169" s="13"/>
      <c r="Y169" s="13"/>
      <c r="Z169" s="13"/>
      <c r="AA169" s="13"/>
      <c r="AB169" s="13"/>
      <c r="AC169" s="13"/>
      <c r="AD169" s="13"/>
      <c r="AE169" s="13"/>
      <c r="AF169" s="2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1"/>
    </row>
    <row r="170" spans="1:43" x14ac:dyDescent="0.25">
      <c r="A170" s="8"/>
      <c r="M170" s="27"/>
      <c r="N170" s="14"/>
      <c r="O170" s="14"/>
      <c r="P170" s="14"/>
      <c r="Q170" s="14"/>
      <c r="R170" s="14"/>
      <c r="S170" s="14"/>
      <c r="T170" s="14"/>
      <c r="U170" s="14"/>
      <c r="W170" s="13"/>
      <c r="X170" s="13"/>
      <c r="Y170" s="13"/>
      <c r="Z170" s="13"/>
      <c r="AA170" s="13"/>
      <c r="AB170" s="13"/>
      <c r="AC170" s="13"/>
      <c r="AD170" s="13"/>
      <c r="AE170" s="13"/>
      <c r="AF170" s="2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1"/>
    </row>
    <row r="171" spans="1:43" x14ac:dyDescent="0.25">
      <c r="A171" s="8"/>
      <c r="M171" s="27"/>
      <c r="N171" s="14"/>
      <c r="O171" s="14"/>
      <c r="P171" s="14"/>
      <c r="Q171" s="14"/>
      <c r="R171" s="14"/>
      <c r="S171" s="14"/>
      <c r="T171" s="14"/>
      <c r="U171" s="14"/>
      <c r="W171" s="13"/>
      <c r="X171" s="13"/>
      <c r="Y171" s="13"/>
      <c r="Z171" s="13"/>
      <c r="AA171" s="13"/>
      <c r="AB171" s="13"/>
      <c r="AC171" s="13"/>
      <c r="AD171" s="13"/>
      <c r="AE171" s="13"/>
      <c r="AF171" s="2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1"/>
    </row>
    <row r="172" spans="1:43" x14ac:dyDescent="0.25">
      <c r="A172" s="8"/>
      <c r="M172" s="27"/>
      <c r="N172" s="14"/>
      <c r="O172" s="14"/>
      <c r="P172" s="14"/>
      <c r="Q172" s="14"/>
      <c r="R172" s="14"/>
      <c r="S172" s="14"/>
      <c r="T172" s="14"/>
      <c r="U172" s="14"/>
      <c r="W172" s="13"/>
      <c r="X172" s="13"/>
      <c r="Y172" s="13"/>
      <c r="Z172" s="13"/>
      <c r="AA172" s="13"/>
      <c r="AB172" s="13"/>
      <c r="AC172" s="13"/>
      <c r="AD172" s="13"/>
      <c r="AE172" s="13"/>
      <c r="AF172" s="2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1"/>
    </row>
    <row r="173" spans="1:43" x14ac:dyDescent="0.25">
      <c r="A173" s="8"/>
      <c r="M173" s="27"/>
      <c r="N173" s="14"/>
      <c r="O173" s="14"/>
      <c r="P173" s="14"/>
      <c r="Q173" s="14"/>
      <c r="R173" s="14"/>
      <c r="S173" s="14"/>
      <c r="T173" s="14"/>
      <c r="U173" s="14"/>
      <c r="W173" s="13"/>
      <c r="X173" s="13"/>
      <c r="Y173" s="13"/>
      <c r="Z173" s="13"/>
      <c r="AA173" s="13"/>
      <c r="AB173" s="13"/>
      <c r="AC173" s="13"/>
      <c r="AD173" s="13"/>
      <c r="AE173" s="13"/>
      <c r="AF173" s="2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1"/>
    </row>
    <row r="174" spans="1:43" x14ac:dyDescent="0.25">
      <c r="A174" s="8"/>
      <c r="M174" s="27"/>
      <c r="N174" s="14"/>
      <c r="O174" s="14"/>
      <c r="P174" s="14"/>
      <c r="Q174" s="14"/>
      <c r="R174" s="14"/>
      <c r="S174" s="14"/>
      <c r="T174" s="14"/>
      <c r="U174" s="14"/>
      <c r="W174" s="13"/>
      <c r="X174" s="13"/>
      <c r="Y174" s="13"/>
      <c r="Z174" s="13"/>
      <c r="AA174" s="13"/>
      <c r="AB174" s="13"/>
      <c r="AC174" s="13"/>
      <c r="AD174" s="13"/>
      <c r="AE174" s="13"/>
      <c r="AF174" s="2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1"/>
    </row>
    <row r="175" spans="1:43" x14ac:dyDescent="0.25">
      <c r="A175" s="8"/>
      <c r="M175" s="27"/>
      <c r="N175" s="14"/>
      <c r="O175" s="14"/>
      <c r="P175" s="14"/>
      <c r="Q175" s="14"/>
      <c r="R175" s="14"/>
      <c r="S175" s="14"/>
      <c r="T175" s="14"/>
      <c r="U175" s="14"/>
      <c r="W175" s="13"/>
      <c r="X175" s="13"/>
      <c r="Y175" s="13"/>
      <c r="Z175" s="13"/>
      <c r="AA175" s="13"/>
      <c r="AB175" s="13"/>
      <c r="AC175" s="13"/>
      <c r="AD175" s="13"/>
      <c r="AE175" s="13"/>
      <c r="AF175" s="2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1"/>
    </row>
    <row r="176" spans="1:43" x14ac:dyDescent="0.25">
      <c r="A176" s="8"/>
      <c r="M176" s="27"/>
      <c r="N176" s="14"/>
      <c r="O176" s="14"/>
      <c r="P176" s="14"/>
      <c r="Q176" s="14"/>
      <c r="R176" s="14"/>
      <c r="S176" s="14"/>
      <c r="T176" s="14"/>
      <c r="U176" s="14"/>
      <c r="W176" s="13"/>
      <c r="X176" s="13"/>
      <c r="Y176" s="13"/>
      <c r="Z176" s="13"/>
      <c r="AA176" s="13"/>
      <c r="AB176" s="13"/>
      <c r="AC176" s="13"/>
      <c r="AD176" s="13"/>
      <c r="AE176" s="13"/>
      <c r="AF176" s="2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1"/>
    </row>
    <row r="177" spans="1:43" x14ac:dyDescent="0.25">
      <c r="A177" s="8"/>
      <c r="M177" s="27"/>
      <c r="N177" s="14"/>
      <c r="O177" s="14"/>
      <c r="P177" s="14"/>
      <c r="Q177" s="14"/>
      <c r="R177" s="14"/>
      <c r="S177" s="14"/>
      <c r="T177" s="14"/>
      <c r="U177" s="14"/>
      <c r="W177" s="13"/>
      <c r="X177" s="13"/>
      <c r="Y177" s="13"/>
      <c r="Z177" s="13"/>
      <c r="AA177" s="13"/>
      <c r="AB177" s="13"/>
      <c r="AC177" s="13"/>
      <c r="AD177" s="13"/>
      <c r="AE177" s="13"/>
      <c r="AF177" s="2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1"/>
    </row>
    <row r="178" spans="1:43" x14ac:dyDescent="0.25">
      <c r="A178" s="8"/>
      <c r="M178" s="27"/>
      <c r="N178" s="14"/>
      <c r="O178" s="14"/>
      <c r="P178" s="14"/>
      <c r="Q178" s="14"/>
      <c r="R178" s="14"/>
      <c r="S178" s="14"/>
      <c r="T178" s="14"/>
      <c r="U178" s="14"/>
      <c r="W178" s="13"/>
      <c r="X178" s="13"/>
      <c r="Y178" s="13"/>
      <c r="Z178" s="13"/>
      <c r="AA178" s="13"/>
      <c r="AB178" s="13"/>
      <c r="AC178" s="13"/>
      <c r="AD178" s="13"/>
      <c r="AE178" s="13"/>
      <c r="AF178" s="2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1"/>
    </row>
    <row r="179" spans="1:43" x14ac:dyDescent="0.25">
      <c r="A179" s="8"/>
      <c r="M179" s="27"/>
      <c r="N179" s="14"/>
      <c r="O179" s="14"/>
      <c r="P179" s="14"/>
      <c r="Q179" s="14"/>
      <c r="R179" s="14"/>
      <c r="S179" s="14"/>
      <c r="T179" s="14"/>
      <c r="U179" s="14"/>
      <c r="W179" s="13"/>
      <c r="X179" s="13"/>
      <c r="Y179" s="13"/>
      <c r="Z179" s="13"/>
      <c r="AA179" s="13"/>
      <c r="AB179" s="13"/>
      <c r="AC179" s="13"/>
      <c r="AD179" s="13"/>
      <c r="AE179" s="13"/>
      <c r="AF179" s="2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1"/>
    </row>
    <row r="180" spans="1:43" x14ac:dyDescent="0.25">
      <c r="A180" s="8"/>
      <c r="M180" s="27"/>
      <c r="N180" s="14"/>
      <c r="O180" s="14"/>
      <c r="P180" s="14"/>
      <c r="Q180" s="14"/>
      <c r="R180" s="14"/>
      <c r="S180" s="14"/>
      <c r="T180" s="14"/>
      <c r="U180" s="14"/>
      <c r="W180" s="13"/>
      <c r="X180" s="13"/>
      <c r="Y180" s="13"/>
      <c r="Z180" s="13"/>
      <c r="AA180" s="13"/>
      <c r="AB180" s="13"/>
      <c r="AC180" s="13"/>
      <c r="AD180" s="13"/>
      <c r="AE180" s="13"/>
      <c r="AF180" s="2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1"/>
    </row>
    <row r="181" spans="1:43" x14ac:dyDescent="0.25">
      <c r="A181" s="8"/>
      <c r="M181" s="27"/>
      <c r="N181" s="14"/>
      <c r="O181" s="14"/>
      <c r="P181" s="14"/>
      <c r="Q181" s="14"/>
      <c r="R181" s="14"/>
      <c r="S181" s="14"/>
      <c r="T181" s="14"/>
      <c r="U181" s="14"/>
      <c r="W181" s="13"/>
      <c r="X181" s="13"/>
      <c r="Y181" s="13"/>
      <c r="Z181" s="13"/>
      <c r="AA181" s="13"/>
      <c r="AB181" s="13"/>
      <c r="AC181" s="13"/>
      <c r="AD181" s="13"/>
      <c r="AE181" s="13"/>
      <c r="AF181" s="2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1"/>
    </row>
    <row r="182" spans="1:43" x14ac:dyDescent="0.25">
      <c r="A182" s="8"/>
      <c r="M182" s="27"/>
      <c r="N182" s="14"/>
      <c r="O182" s="14"/>
      <c r="P182" s="14"/>
      <c r="Q182" s="14"/>
      <c r="R182" s="14"/>
      <c r="S182" s="14"/>
      <c r="T182" s="14"/>
      <c r="U182" s="14"/>
      <c r="W182" s="13"/>
      <c r="X182" s="13"/>
      <c r="Y182" s="13"/>
      <c r="Z182" s="13"/>
      <c r="AA182" s="13"/>
      <c r="AB182" s="13"/>
      <c r="AC182" s="13"/>
      <c r="AD182" s="13"/>
      <c r="AE182" s="13"/>
      <c r="AF182" s="2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1"/>
    </row>
    <row r="183" spans="1:43" x14ac:dyDescent="0.25">
      <c r="A183" s="8"/>
      <c r="M183" s="27"/>
      <c r="N183" s="14"/>
      <c r="O183" s="14"/>
      <c r="P183" s="14"/>
      <c r="Q183" s="14"/>
      <c r="R183" s="14"/>
      <c r="S183" s="14"/>
      <c r="T183" s="14"/>
      <c r="U183" s="14"/>
      <c r="W183" s="13"/>
      <c r="X183" s="13"/>
      <c r="Y183" s="13"/>
      <c r="Z183" s="13"/>
      <c r="AA183" s="13"/>
      <c r="AB183" s="13"/>
      <c r="AC183" s="13"/>
      <c r="AD183" s="13"/>
      <c r="AE183" s="13"/>
      <c r="AF183" s="2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1"/>
    </row>
    <row r="184" spans="1:43" x14ac:dyDescent="0.25">
      <c r="A184" s="8"/>
      <c r="M184" s="27"/>
      <c r="N184" s="14"/>
      <c r="O184" s="14"/>
      <c r="P184" s="14"/>
      <c r="Q184" s="14"/>
      <c r="R184" s="14"/>
      <c r="S184" s="14"/>
      <c r="T184" s="14"/>
      <c r="U184" s="14"/>
      <c r="W184" s="13"/>
      <c r="X184" s="13"/>
      <c r="Y184" s="13"/>
      <c r="Z184" s="13"/>
      <c r="AA184" s="13"/>
      <c r="AB184" s="13"/>
      <c r="AC184" s="13"/>
      <c r="AD184" s="13"/>
      <c r="AE184" s="13"/>
      <c r="AF184" s="2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1"/>
    </row>
    <row r="185" spans="1:43" x14ac:dyDescent="0.25">
      <c r="A185" s="8"/>
      <c r="M185" s="27"/>
      <c r="N185" s="14"/>
      <c r="O185" s="14"/>
      <c r="P185" s="14"/>
      <c r="Q185" s="14"/>
      <c r="R185" s="14"/>
      <c r="S185" s="14"/>
      <c r="T185" s="14"/>
      <c r="U185" s="14"/>
      <c r="W185" s="13"/>
      <c r="X185" s="13"/>
      <c r="Y185" s="13"/>
      <c r="Z185" s="13"/>
      <c r="AA185" s="13"/>
      <c r="AB185" s="13"/>
      <c r="AC185" s="13"/>
      <c r="AD185" s="13"/>
      <c r="AE185" s="13"/>
      <c r="AF185" s="2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1"/>
    </row>
    <row r="186" spans="1:43" x14ac:dyDescent="0.25">
      <c r="A186" s="8"/>
      <c r="M186" s="27"/>
      <c r="N186" s="14"/>
      <c r="O186" s="14"/>
      <c r="P186" s="14"/>
      <c r="Q186" s="14"/>
      <c r="R186" s="14"/>
      <c r="S186" s="14"/>
      <c r="T186" s="14"/>
      <c r="U186" s="14"/>
      <c r="W186" s="13"/>
      <c r="X186" s="13"/>
      <c r="Y186" s="13"/>
      <c r="Z186" s="13"/>
      <c r="AA186" s="13"/>
      <c r="AB186" s="13"/>
      <c r="AC186" s="13"/>
      <c r="AD186" s="13"/>
      <c r="AE186" s="13"/>
      <c r="AF186" s="2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1"/>
    </row>
    <row r="187" spans="1:43" x14ac:dyDescent="0.25">
      <c r="A187" s="8"/>
      <c r="M187" s="27"/>
      <c r="N187" s="14"/>
      <c r="O187" s="14"/>
      <c r="P187" s="14"/>
      <c r="Q187" s="14"/>
      <c r="R187" s="14"/>
      <c r="S187" s="14"/>
      <c r="T187" s="14"/>
      <c r="U187" s="14"/>
      <c r="W187" s="13"/>
      <c r="X187" s="13"/>
      <c r="Y187" s="13"/>
      <c r="Z187" s="13"/>
      <c r="AA187" s="13"/>
      <c r="AB187" s="13"/>
      <c r="AC187" s="13"/>
      <c r="AD187" s="13"/>
      <c r="AE187" s="13"/>
      <c r="AF187" s="2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1"/>
    </row>
    <row r="188" spans="1:43" x14ac:dyDescent="0.25">
      <c r="A188" s="8"/>
      <c r="M188" s="27"/>
      <c r="N188" s="14"/>
      <c r="O188" s="14"/>
      <c r="P188" s="14"/>
      <c r="Q188" s="14"/>
      <c r="R188" s="14"/>
      <c r="S188" s="14"/>
      <c r="T188" s="14"/>
      <c r="U188" s="14"/>
      <c r="W188" s="13"/>
      <c r="X188" s="13"/>
      <c r="Y188" s="13"/>
      <c r="Z188" s="13"/>
      <c r="AA188" s="13"/>
      <c r="AB188" s="13"/>
      <c r="AC188" s="13"/>
      <c r="AD188" s="13"/>
      <c r="AE188" s="13"/>
      <c r="AF188" s="2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1"/>
    </row>
    <row r="189" spans="1:43" x14ac:dyDescent="0.25">
      <c r="A189" s="8"/>
      <c r="M189" s="27"/>
      <c r="N189" s="14"/>
      <c r="O189" s="14"/>
      <c r="P189" s="14"/>
      <c r="Q189" s="14"/>
      <c r="R189" s="14"/>
      <c r="S189" s="14"/>
      <c r="T189" s="14"/>
      <c r="U189" s="14"/>
      <c r="W189" s="13"/>
      <c r="X189" s="13"/>
      <c r="Y189" s="13"/>
      <c r="Z189" s="13"/>
      <c r="AA189" s="13"/>
      <c r="AB189" s="13"/>
      <c r="AC189" s="13"/>
      <c r="AD189" s="13"/>
      <c r="AE189" s="13"/>
      <c r="AF189" s="2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1"/>
    </row>
    <row r="190" spans="1:43" x14ac:dyDescent="0.25">
      <c r="A190" s="8"/>
      <c r="M190" s="27"/>
      <c r="N190" s="14"/>
      <c r="O190" s="14"/>
      <c r="P190" s="14"/>
      <c r="Q190" s="14"/>
      <c r="R190" s="14"/>
      <c r="S190" s="14"/>
      <c r="T190" s="14"/>
      <c r="U190" s="14"/>
      <c r="W190" s="13"/>
      <c r="X190" s="13"/>
      <c r="Y190" s="13"/>
      <c r="Z190" s="13"/>
      <c r="AA190" s="13"/>
      <c r="AB190" s="13"/>
      <c r="AC190" s="13"/>
      <c r="AD190" s="13"/>
      <c r="AE190" s="13"/>
      <c r="AF190" s="2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1"/>
    </row>
    <row r="191" spans="1:43" x14ac:dyDescent="0.25">
      <c r="A191" s="8"/>
      <c r="M191" s="27"/>
      <c r="N191" s="14"/>
      <c r="O191" s="14"/>
      <c r="P191" s="14"/>
      <c r="Q191" s="14"/>
      <c r="R191" s="14"/>
      <c r="S191" s="14"/>
      <c r="T191" s="14"/>
      <c r="U191" s="14"/>
      <c r="W191" s="13"/>
      <c r="X191" s="13"/>
      <c r="Y191" s="13"/>
      <c r="Z191" s="13"/>
      <c r="AA191" s="13"/>
      <c r="AB191" s="13"/>
      <c r="AC191" s="13"/>
      <c r="AD191" s="13"/>
      <c r="AE191" s="13"/>
      <c r="AF191" s="2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1"/>
    </row>
    <row r="192" spans="1:43" x14ac:dyDescent="0.25">
      <c r="A192" s="8"/>
      <c r="M192" s="27"/>
      <c r="N192" s="14"/>
      <c r="O192" s="14"/>
      <c r="P192" s="14"/>
      <c r="Q192" s="14"/>
      <c r="R192" s="14"/>
      <c r="S192" s="14"/>
      <c r="T192" s="14"/>
      <c r="U192" s="14"/>
      <c r="W192" s="13"/>
      <c r="X192" s="13"/>
      <c r="Y192" s="13"/>
      <c r="Z192" s="13"/>
      <c r="AA192" s="13"/>
      <c r="AB192" s="13"/>
      <c r="AC192" s="13"/>
      <c r="AD192" s="13"/>
      <c r="AE192" s="13"/>
      <c r="AF192" s="2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1"/>
    </row>
    <row r="193" spans="1:43" x14ac:dyDescent="0.25">
      <c r="A193" s="8"/>
      <c r="M193" s="27"/>
      <c r="N193" s="14"/>
      <c r="O193" s="14"/>
      <c r="P193" s="14"/>
      <c r="Q193" s="14"/>
      <c r="R193" s="14"/>
      <c r="S193" s="14"/>
      <c r="T193" s="14"/>
      <c r="U193" s="14"/>
      <c r="W193" s="13"/>
      <c r="X193" s="13"/>
      <c r="Y193" s="13"/>
      <c r="Z193" s="13"/>
      <c r="AA193" s="13"/>
      <c r="AB193" s="13"/>
      <c r="AC193" s="13"/>
      <c r="AD193" s="13"/>
      <c r="AE193" s="13"/>
      <c r="AF193" s="2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1"/>
    </row>
    <row r="194" spans="1:43" x14ac:dyDescent="0.25">
      <c r="A194" s="8"/>
      <c r="M194" s="27"/>
      <c r="N194" s="14"/>
      <c r="O194" s="14"/>
      <c r="P194" s="14"/>
      <c r="Q194" s="14"/>
      <c r="R194" s="14"/>
      <c r="S194" s="14"/>
      <c r="T194" s="14"/>
      <c r="U194" s="14"/>
      <c r="W194" s="13"/>
      <c r="X194" s="13"/>
      <c r="Y194" s="13"/>
      <c r="Z194" s="13"/>
      <c r="AA194" s="13"/>
      <c r="AB194" s="13"/>
      <c r="AC194" s="13"/>
      <c r="AD194" s="13"/>
      <c r="AE194" s="13"/>
      <c r="AF194" s="2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1"/>
    </row>
    <row r="195" spans="1:43" x14ac:dyDescent="0.25">
      <c r="A195" s="8"/>
      <c r="M195" s="27"/>
      <c r="N195" s="14"/>
      <c r="O195" s="14"/>
      <c r="P195" s="14"/>
      <c r="Q195" s="14"/>
      <c r="R195" s="14"/>
      <c r="S195" s="14"/>
      <c r="T195" s="14"/>
      <c r="U195" s="14"/>
      <c r="W195" s="13"/>
      <c r="X195" s="13"/>
      <c r="Y195" s="13"/>
      <c r="Z195" s="13"/>
      <c r="AA195" s="13"/>
      <c r="AB195" s="13"/>
      <c r="AC195" s="13"/>
      <c r="AD195" s="13"/>
      <c r="AE195" s="13"/>
      <c r="AF195" s="2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1"/>
    </row>
    <row r="196" spans="1:43" x14ac:dyDescent="0.25">
      <c r="A196" s="8"/>
      <c r="M196" s="27"/>
      <c r="N196" s="14"/>
      <c r="O196" s="14"/>
      <c r="P196" s="14"/>
      <c r="Q196" s="14"/>
      <c r="R196" s="14"/>
      <c r="S196" s="14"/>
      <c r="T196" s="14"/>
      <c r="U196" s="14"/>
      <c r="W196" s="13"/>
      <c r="X196" s="13"/>
      <c r="Y196" s="13"/>
      <c r="Z196" s="13"/>
      <c r="AA196" s="13"/>
      <c r="AB196" s="13"/>
      <c r="AC196" s="13"/>
      <c r="AD196" s="13"/>
      <c r="AE196" s="13"/>
      <c r="AF196" s="2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1"/>
    </row>
    <row r="197" spans="1:43" x14ac:dyDescent="0.25">
      <c r="A197" s="8"/>
      <c r="M197" s="27"/>
      <c r="N197" s="14"/>
      <c r="O197" s="14"/>
      <c r="P197" s="14"/>
      <c r="Q197" s="14"/>
      <c r="R197" s="14"/>
      <c r="S197" s="14"/>
      <c r="T197" s="14"/>
      <c r="U197" s="14"/>
      <c r="W197" s="13"/>
      <c r="X197" s="13"/>
      <c r="Y197" s="13"/>
      <c r="Z197" s="13"/>
      <c r="AA197" s="13"/>
      <c r="AB197" s="13"/>
      <c r="AC197" s="13"/>
      <c r="AD197" s="13"/>
      <c r="AE197" s="13"/>
      <c r="AF197" s="2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1"/>
    </row>
    <row r="198" spans="1:43" x14ac:dyDescent="0.25">
      <c r="A198" s="8"/>
      <c r="M198" s="27"/>
      <c r="N198" s="14"/>
      <c r="O198" s="14"/>
      <c r="P198" s="14"/>
      <c r="Q198" s="14"/>
      <c r="R198" s="14"/>
      <c r="S198" s="14"/>
      <c r="T198" s="14"/>
      <c r="U198" s="14"/>
      <c r="W198" s="13"/>
      <c r="X198" s="13"/>
      <c r="Y198" s="13"/>
      <c r="Z198" s="13"/>
      <c r="AA198" s="13"/>
      <c r="AB198" s="13"/>
      <c r="AC198" s="13"/>
      <c r="AD198" s="13"/>
      <c r="AE198" s="13"/>
      <c r="AF198" s="2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1"/>
    </row>
    <row r="199" spans="1:43" x14ac:dyDescent="0.25">
      <c r="A199" s="8"/>
      <c r="M199" s="27"/>
      <c r="N199" s="14"/>
      <c r="O199" s="14"/>
      <c r="P199" s="14"/>
      <c r="Q199" s="14"/>
      <c r="R199" s="14"/>
      <c r="S199" s="14"/>
      <c r="T199" s="14"/>
      <c r="U199" s="14"/>
      <c r="W199" s="13"/>
      <c r="X199" s="13"/>
      <c r="Y199" s="13"/>
      <c r="Z199" s="13"/>
      <c r="AA199" s="13"/>
      <c r="AB199" s="13"/>
      <c r="AC199" s="13"/>
      <c r="AD199" s="13"/>
      <c r="AE199" s="13"/>
      <c r="AF199" s="2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1"/>
    </row>
    <row r="200" spans="1:43" x14ac:dyDescent="0.25">
      <c r="A200" s="8"/>
      <c r="M200" s="27"/>
      <c r="N200" s="14"/>
      <c r="O200" s="14"/>
      <c r="P200" s="14"/>
      <c r="Q200" s="14"/>
      <c r="R200" s="14"/>
      <c r="S200" s="14"/>
      <c r="T200" s="14"/>
      <c r="U200" s="14"/>
      <c r="W200" s="13"/>
      <c r="X200" s="13"/>
      <c r="Y200" s="13"/>
      <c r="Z200" s="13"/>
      <c r="AA200" s="13"/>
      <c r="AB200" s="13"/>
      <c r="AC200" s="13"/>
      <c r="AD200" s="13"/>
      <c r="AE200" s="13"/>
      <c r="AF200" s="2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1"/>
    </row>
    <row r="201" spans="1:43" x14ac:dyDescent="0.25">
      <c r="A201" s="8"/>
      <c r="M201" s="27"/>
      <c r="N201" s="14"/>
      <c r="O201" s="14"/>
      <c r="P201" s="14"/>
      <c r="Q201" s="14"/>
      <c r="R201" s="14"/>
      <c r="S201" s="14"/>
      <c r="T201" s="14"/>
      <c r="U201" s="14"/>
      <c r="W201" s="13"/>
      <c r="X201" s="13"/>
      <c r="Y201" s="13"/>
      <c r="Z201" s="13"/>
      <c r="AA201" s="13"/>
      <c r="AB201" s="13"/>
      <c r="AC201" s="13"/>
      <c r="AD201" s="13"/>
      <c r="AE201" s="13"/>
      <c r="AF201" s="2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1"/>
    </row>
    <row r="202" spans="1:43" x14ac:dyDescent="0.25">
      <c r="A202" s="8"/>
      <c r="M202" s="27"/>
      <c r="N202" s="14"/>
      <c r="O202" s="14"/>
      <c r="P202" s="14"/>
      <c r="Q202" s="14"/>
      <c r="R202" s="14"/>
      <c r="S202" s="14"/>
      <c r="T202" s="14"/>
      <c r="U202" s="14"/>
      <c r="W202" s="13"/>
      <c r="X202" s="13"/>
      <c r="Y202" s="13"/>
      <c r="Z202" s="13"/>
      <c r="AA202" s="13"/>
      <c r="AB202" s="13"/>
      <c r="AC202" s="13"/>
      <c r="AD202" s="13"/>
      <c r="AE202" s="13"/>
      <c r="AF202" s="2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1"/>
    </row>
    <row r="203" spans="1:43" x14ac:dyDescent="0.25">
      <c r="A203" s="8"/>
      <c r="M203" s="27"/>
      <c r="N203" s="14"/>
      <c r="O203" s="14"/>
      <c r="P203" s="14"/>
      <c r="Q203" s="14"/>
      <c r="R203" s="14"/>
      <c r="S203" s="14"/>
      <c r="T203" s="14"/>
      <c r="U203" s="14"/>
      <c r="W203" s="13"/>
      <c r="X203" s="13"/>
      <c r="Y203" s="13"/>
      <c r="Z203" s="13"/>
      <c r="AA203" s="13"/>
      <c r="AB203" s="13"/>
      <c r="AC203" s="13"/>
      <c r="AD203" s="13"/>
      <c r="AE203" s="13"/>
      <c r="AF203" s="2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1"/>
    </row>
    <row r="204" spans="1:43" x14ac:dyDescent="0.25">
      <c r="A204" s="8"/>
      <c r="M204" s="27"/>
      <c r="N204" s="14"/>
      <c r="O204" s="14"/>
      <c r="P204" s="14"/>
      <c r="Q204" s="14"/>
      <c r="R204" s="14"/>
      <c r="S204" s="14"/>
      <c r="T204" s="14"/>
      <c r="U204" s="14"/>
      <c r="W204" s="13"/>
      <c r="X204" s="13"/>
      <c r="Y204" s="13"/>
      <c r="Z204" s="13"/>
      <c r="AA204" s="13"/>
      <c r="AB204" s="13"/>
      <c r="AC204" s="13"/>
      <c r="AD204" s="13"/>
      <c r="AE204" s="13"/>
      <c r="AF204" s="2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1"/>
    </row>
    <row r="205" spans="1:43" x14ac:dyDescent="0.25">
      <c r="A205" s="8"/>
      <c r="M205" s="27"/>
      <c r="N205" s="14"/>
      <c r="O205" s="14"/>
      <c r="P205" s="14"/>
      <c r="Q205" s="14"/>
      <c r="R205" s="14"/>
      <c r="S205" s="14"/>
      <c r="T205" s="14"/>
      <c r="U205" s="14"/>
      <c r="W205" s="13"/>
      <c r="X205" s="13"/>
      <c r="Y205" s="13"/>
      <c r="Z205" s="13"/>
      <c r="AA205" s="13"/>
      <c r="AB205" s="13"/>
      <c r="AC205" s="13"/>
      <c r="AD205" s="13"/>
      <c r="AE205" s="13"/>
      <c r="AF205" s="2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1"/>
    </row>
    <row r="206" spans="1:43" x14ac:dyDescent="0.25">
      <c r="A206" s="8"/>
      <c r="M206" s="27"/>
      <c r="N206" s="14"/>
      <c r="O206" s="14"/>
      <c r="P206" s="14"/>
      <c r="Q206" s="14"/>
      <c r="R206" s="14"/>
      <c r="S206" s="14"/>
      <c r="T206" s="14"/>
      <c r="U206" s="14"/>
      <c r="W206" s="13"/>
      <c r="X206" s="13"/>
      <c r="Y206" s="13"/>
      <c r="Z206" s="13"/>
      <c r="AA206" s="13"/>
      <c r="AB206" s="13"/>
      <c r="AC206" s="13"/>
      <c r="AD206" s="13"/>
      <c r="AE206" s="13"/>
      <c r="AF206" s="2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1"/>
    </row>
    <row r="207" spans="1:43" x14ac:dyDescent="0.25">
      <c r="A207" s="8"/>
      <c r="M207" s="27"/>
      <c r="N207" s="14"/>
      <c r="O207" s="14"/>
      <c r="P207" s="14"/>
      <c r="Q207" s="14"/>
      <c r="R207" s="14"/>
      <c r="S207" s="14"/>
      <c r="T207" s="14"/>
      <c r="U207" s="14"/>
      <c r="W207" s="13"/>
      <c r="X207" s="13"/>
      <c r="Y207" s="13"/>
      <c r="Z207" s="13"/>
      <c r="AA207" s="13"/>
      <c r="AB207" s="13"/>
      <c r="AC207" s="13"/>
      <c r="AD207" s="13"/>
      <c r="AE207" s="13"/>
      <c r="AF207" s="2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1"/>
    </row>
    <row r="208" spans="1:43" x14ac:dyDescent="0.25">
      <c r="A208" s="8"/>
      <c r="M208" s="27"/>
      <c r="N208" s="14"/>
      <c r="O208" s="14"/>
      <c r="P208" s="14"/>
      <c r="Q208" s="14"/>
      <c r="R208" s="14"/>
      <c r="S208" s="14"/>
      <c r="T208" s="14"/>
      <c r="U208" s="14"/>
      <c r="W208" s="13"/>
      <c r="X208" s="13"/>
      <c r="Y208" s="13"/>
      <c r="Z208" s="13"/>
      <c r="AA208" s="13"/>
      <c r="AB208" s="13"/>
      <c r="AC208" s="13"/>
      <c r="AD208" s="13"/>
      <c r="AE208" s="13"/>
      <c r="AF208" s="2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1"/>
    </row>
    <row r="209" spans="1:43" x14ac:dyDescent="0.25">
      <c r="A209" s="8"/>
      <c r="M209" s="27"/>
      <c r="N209" s="14"/>
      <c r="O209" s="14"/>
      <c r="P209" s="14"/>
      <c r="Q209" s="14"/>
      <c r="R209" s="14"/>
      <c r="S209" s="14"/>
      <c r="T209" s="14"/>
      <c r="U209" s="14"/>
      <c r="W209" s="13"/>
      <c r="X209" s="13"/>
      <c r="Y209" s="13"/>
      <c r="Z209" s="13"/>
      <c r="AA209" s="13"/>
      <c r="AB209" s="13"/>
      <c r="AC209" s="13"/>
      <c r="AD209" s="13"/>
      <c r="AE209" s="13"/>
      <c r="AF209" s="2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1"/>
    </row>
    <row r="210" spans="1:43" x14ac:dyDescent="0.25">
      <c r="A210" s="8"/>
      <c r="M210" s="27"/>
      <c r="N210" s="14"/>
      <c r="O210" s="14"/>
      <c r="P210" s="14"/>
      <c r="Q210" s="14"/>
      <c r="R210" s="14"/>
      <c r="S210" s="14"/>
      <c r="T210" s="14"/>
      <c r="U210" s="14"/>
      <c r="W210" s="13"/>
      <c r="X210" s="13"/>
      <c r="Y210" s="13"/>
      <c r="Z210" s="13"/>
      <c r="AA210" s="13"/>
      <c r="AB210" s="13"/>
      <c r="AC210" s="13"/>
      <c r="AD210" s="13"/>
      <c r="AE210" s="13"/>
      <c r="AF210" s="2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1"/>
    </row>
    <row r="211" spans="1:43" x14ac:dyDescent="0.25">
      <c r="A211" s="8"/>
      <c r="M211" s="27"/>
      <c r="N211" s="14"/>
      <c r="O211" s="14"/>
      <c r="P211" s="14"/>
      <c r="Q211" s="14"/>
      <c r="R211" s="14"/>
      <c r="S211" s="14"/>
      <c r="T211" s="14"/>
      <c r="U211" s="14"/>
      <c r="W211" s="13"/>
      <c r="X211" s="13"/>
      <c r="Y211" s="13"/>
      <c r="Z211" s="13"/>
      <c r="AA211" s="13"/>
      <c r="AB211" s="13"/>
      <c r="AC211" s="13"/>
      <c r="AD211" s="13"/>
      <c r="AE211" s="13"/>
      <c r="AF211" s="2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1"/>
    </row>
    <row r="212" spans="1:43" x14ac:dyDescent="0.25">
      <c r="A212" s="8"/>
      <c r="M212" s="27"/>
      <c r="N212" s="14"/>
      <c r="O212" s="14"/>
      <c r="P212" s="14"/>
      <c r="Q212" s="14"/>
      <c r="R212" s="14"/>
      <c r="S212" s="14"/>
      <c r="T212" s="14"/>
      <c r="U212" s="14"/>
      <c r="W212" s="13"/>
      <c r="X212" s="13"/>
      <c r="Y212" s="13"/>
      <c r="Z212" s="13"/>
      <c r="AA212" s="13"/>
      <c r="AB212" s="13"/>
      <c r="AC212" s="13"/>
      <c r="AD212" s="13"/>
      <c r="AE212" s="13"/>
      <c r="AF212" s="2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1"/>
    </row>
    <row r="213" spans="1:43" x14ac:dyDescent="0.25">
      <c r="A213" s="8"/>
      <c r="M213" s="27"/>
      <c r="N213" s="14"/>
      <c r="O213" s="14"/>
      <c r="P213" s="14"/>
      <c r="Q213" s="14"/>
      <c r="R213" s="14"/>
      <c r="S213" s="14"/>
      <c r="T213" s="14"/>
      <c r="U213" s="14"/>
      <c r="W213" s="13"/>
      <c r="X213" s="13"/>
      <c r="Y213" s="13"/>
      <c r="Z213" s="13"/>
      <c r="AA213" s="13"/>
      <c r="AB213" s="13"/>
      <c r="AC213" s="13"/>
      <c r="AD213" s="13"/>
      <c r="AE213" s="13"/>
      <c r="AF213" s="2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1"/>
    </row>
    <row r="214" spans="1:43" x14ac:dyDescent="0.25">
      <c r="A214" s="8"/>
      <c r="M214" s="27"/>
      <c r="N214" s="14"/>
      <c r="O214" s="14"/>
      <c r="P214" s="14"/>
      <c r="Q214" s="14"/>
      <c r="R214" s="14"/>
      <c r="S214" s="14"/>
      <c r="T214" s="14"/>
      <c r="U214" s="14"/>
      <c r="W214" s="13"/>
      <c r="X214" s="13"/>
      <c r="Y214" s="13"/>
      <c r="Z214" s="13"/>
      <c r="AA214" s="13"/>
      <c r="AB214" s="13"/>
      <c r="AC214" s="13"/>
      <c r="AD214" s="13"/>
      <c r="AE214" s="13"/>
      <c r="AF214" s="2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1"/>
    </row>
    <row r="215" spans="1:43" x14ac:dyDescent="0.25">
      <c r="A215" s="8"/>
      <c r="M215" s="27"/>
      <c r="N215" s="14"/>
      <c r="O215" s="14"/>
      <c r="P215" s="14"/>
      <c r="Q215" s="14"/>
      <c r="R215" s="14"/>
      <c r="S215" s="14"/>
      <c r="T215" s="14"/>
      <c r="U215" s="14"/>
      <c r="W215" s="13"/>
      <c r="X215" s="13"/>
      <c r="Y215" s="13"/>
      <c r="Z215" s="13"/>
      <c r="AA215" s="13"/>
      <c r="AB215" s="13"/>
      <c r="AC215" s="13"/>
      <c r="AD215" s="13"/>
      <c r="AE215" s="13"/>
      <c r="AF215" s="2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1"/>
    </row>
    <row r="216" spans="1:43" x14ac:dyDescent="0.25">
      <c r="A216" s="8"/>
      <c r="M216" s="27"/>
      <c r="N216" s="14"/>
      <c r="O216" s="14"/>
      <c r="P216" s="14"/>
      <c r="Q216" s="14"/>
      <c r="R216" s="14"/>
      <c r="S216" s="14"/>
      <c r="T216" s="14"/>
      <c r="U216" s="14"/>
      <c r="W216" s="13"/>
      <c r="X216" s="13"/>
      <c r="Y216" s="13"/>
      <c r="Z216" s="13"/>
      <c r="AA216" s="13"/>
      <c r="AB216" s="13"/>
      <c r="AC216" s="13"/>
      <c r="AD216" s="13"/>
      <c r="AE216" s="13"/>
      <c r="AF216" s="2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1"/>
    </row>
    <row r="217" spans="1:43" x14ac:dyDescent="0.25">
      <c r="A217" s="8"/>
      <c r="M217" s="27"/>
      <c r="N217" s="14"/>
      <c r="O217" s="14"/>
      <c r="P217" s="14"/>
      <c r="Q217" s="14"/>
      <c r="R217" s="14"/>
      <c r="S217" s="14"/>
      <c r="T217" s="14"/>
      <c r="U217" s="14"/>
      <c r="W217" s="13"/>
      <c r="X217" s="13"/>
      <c r="Y217" s="13"/>
      <c r="Z217" s="13"/>
      <c r="AA217" s="13"/>
      <c r="AB217" s="13"/>
      <c r="AC217" s="13"/>
      <c r="AD217" s="13"/>
      <c r="AE217" s="13"/>
      <c r="AF217" s="2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1"/>
    </row>
    <row r="218" spans="1:43" x14ac:dyDescent="0.25">
      <c r="A218" s="8"/>
      <c r="M218" s="27"/>
      <c r="N218" s="14"/>
      <c r="O218" s="14"/>
      <c r="P218" s="14"/>
      <c r="Q218" s="14"/>
      <c r="R218" s="14"/>
      <c r="S218" s="14"/>
      <c r="T218" s="14"/>
      <c r="U218" s="14"/>
      <c r="W218" s="13"/>
      <c r="X218" s="13"/>
      <c r="Y218" s="13"/>
      <c r="Z218" s="13"/>
      <c r="AA218" s="13"/>
      <c r="AB218" s="13"/>
      <c r="AC218" s="13"/>
      <c r="AD218" s="13"/>
      <c r="AE218" s="13"/>
      <c r="AF218" s="2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1"/>
    </row>
    <row r="219" spans="1:43" x14ac:dyDescent="0.25">
      <c r="A219" s="8"/>
      <c r="M219" s="27"/>
      <c r="N219" s="14"/>
      <c r="O219" s="14"/>
      <c r="P219" s="14"/>
      <c r="Q219" s="14"/>
      <c r="R219" s="14"/>
      <c r="S219" s="14"/>
      <c r="T219" s="14"/>
      <c r="U219" s="14"/>
      <c r="W219" s="13"/>
      <c r="X219" s="13"/>
      <c r="Y219" s="13"/>
      <c r="Z219" s="13"/>
      <c r="AA219" s="13"/>
      <c r="AB219" s="13"/>
      <c r="AC219" s="13"/>
      <c r="AD219" s="13"/>
      <c r="AE219" s="13"/>
      <c r="AF219" s="2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1"/>
    </row>
    <row r="220" spans="1:43" x14ac:dyDescent="0.25">
      <c r="A220" s="8"/>
      <c r="M220" s="27"/>
      <c r="N220" s="14"/>
      <c r="O220" s="14"/>
      <c r="P220" s="14"/>
      <c r="Q220" s="14"/>
      <c r="R220" s="14"/>
      <c r="S220" s="14"/>
      <c r="T220" s="14"/>
      <c r="U220" s="14"/>
      <c r="W220" s="13"/>
      <c r="X220" s="13"/>
      <c r="Y220" s="13"/>
      <c r="Z220" s="13"/>
      <c r="AA220" s="13"/>
      <c r="AB220" s="13"/>
      <c r="AC220" s="13"/>
      <c r="AD220" s="13"/>
      <c r="AE220" s="13"/>
      <c r="AF220" s="2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1"/>
    </row>
    <row r="221" spans="1:43" x14ac:dyDescent="0.25">
      <c r="A221" s="8"/>
      <c r="M221" s="27"/>
      <c r="N221" s="14"/>
      <c r="O221" s="14"/>
      <c r="P221" s="14"/>
      <c r="Q221" s="14"/>
      <c r="R221" s="14"/>
      <c r="S221" s="14"/>
      <c r="T221" s="14"/>
      <c r="U221" s="14"/>
      <c r="W221" s="13"/>
      <c r="X221" s="13"/>
      <c r="Y221" s="13"/>
      <c r="Z221" s="13"/>
      <c r="AA221" s="13"/>
      <c r="AB221" s="13"/>
      <c r="AC221" s="13"/>
      <c r="AD221" s="13"/>
      <c r="AE221" s="13"/>
      <c r="AF221" s="2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1"/>
    </row>
    <row r="222" spans="1:43" x14ac:dyDescent="0.25">
      <c r="A222" s="8"/>
      <c r="M222" s="27"/>
      <c r="N222" s="14"/>
      <c r="O222" s="14"/>
      <c r="P222" s="14"/>
      <c r="Q222" s="14"/>
      <c r="R222" s="14"/>
      <c r="S222" s="14"/>
      <c r="T222" s="14"/>
      <c r="U222" s="14"/>
      <c r="W222" s="13"/>
      <c r="X222" s="13"/>
      <c r="Y222" s="13"/>
      <c r="Z222" s="13"/>
      <c r="AA222" s="13"/>
      <c r="AB222" s="13"/>
      <c r="AC222" s="13"/>
      <c r="AD222" s="13"/>
      <c r="AE222" s="13"/>
      <c r="AF222" s="2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1"/>
    </row>
    <row r="223" spans="1:43" x14ac:dyDescent="0.25">
      <c r="A223" s="8"/>
      <c r="M223" s="27"/>
      <c r="N223" s="14"/>
      <c r="O223" s="14"/>
      <c r="P223" s="14"/>
      <c r="Q223" s="14"/>
      <c r="R223" s="14"/>
      <c r="S223" s="14"/>
      <c r="T223" s="14"/>
      <c r="U223" s="14"/>
      <c r="W223" s="13"/>
      <c r="X223" s="13"/>
      <c r="Y223" s="13"/>
      <c r="Z223" s="13"/>
      <c r="AA223" s="13"/>
      <c r="AB223" s="13"/>
      <c r="AC223" s="13"/>
      <c r="AD223" s="13"/>
      <c r="AE223" s="13"/>
      <c r="AF223" s="2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1"/>
    </row>
    <row r="224" spans="1:43" x14ac:dyDescent="0.25">
      <c r="A224" s="8"/>
      <c r="M224" s="27"/>
      <c r="N224" s="14"/>
      <c r="O224" s="14"/>
      <c r="P224" s="14"/>
      <c r="Q224" s="14"/>
      <c r="R224" s="14"/>
      <c r="S224" s="14"/>
      <c r="T224" s="14"/>
      <c r="U224" s="14"/>
      <c r="W224" s="13"/>
      <c r="X224" s="13"/>
      <c r="Y224" s="13"/>
      <c r="Z224" s="13"/>
      <c r="AA224" s="13"/>
      <c r="AB224" s="13"/>
      <c r="AC224" s="13"/>
      <c r="AD224" s="13"/>
      <c r="AE224" s="13"/>
      <c r="AF224" s="2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1"/>
    </row>
    <row r="225" spans="1:43" x14ac:dyDescent="0.25">
      <c r="A225" s="8"/>
      <c r="M225" s="27"/>
      <c r="N225" s="14"/>
      <c r="O225" s="14"/>
      <c r="P225" s="14"/>
      <c r="Q225" s="14"/>
      <c r="R225" s="14"/>
      <c r="S225" s="14"/>
      <c r="T225" s="14"/>
      <c r="U225" s="14"/>
      <c r="W225" s="13"/>
      <c r="X225" s="13"/>
      <c r="Y225" s="13"/>
      <c r="Z225" s="13"/>
      <c r="AA225" s="13"/>
      <c r="AB225" s="13"/>
      <c r="AC225" s="13"/>
      <c r="AD225" s="13"/>
      <c r="AE225" s="13"/>
      <c r="AF225" s="2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1"/>
    </row>
    <row r="226" spans="1:43" x14ac:dyDescent="0.25">
      <c r="A226" s="8"/>
      <c r="M226" s="27"/>
      <c r="N226" s="14"/>
      <c r="O226" s="14"/>
      <c r="P226" s="14"/>
      <c r="Q226" s="14"/>
      <c r="R226" s="14"/>
      <c r="S226" s="14"/>
      <c r="T226" s="14"/>
      <c r="U226" s="14"/>
      <c r="W226" s="13"/>
      <c r="X226" s="13"/>
      <c r="Y226" s="13"/>
      <c r="Z226" s="13"/>
      <c r="AA226" s="13"/>
      <c r="AB226" s="13"/>
      <c r="AC226" s="13"/>
      <c r="AD226" s="13"/>
      <c r="AE226" s="13"/>
      <c r="AF226" s="2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1"/>
    </row>
    <row r="227" spans="1:43" x14ac:dyDescent="0.25">
      <c r="A227" s="8"/>
      <c r="M227" s="27"/>
      <c r="N227" s="14"/>
      <c r="O227" s="14"/>
      <c r="P227" s="14"/>
      <c r="Q227" s="14"/>
      <c r="R227" s="14"/>
      <c r="S227" s="14"/>
      <c r="T227" s="14"/>
      <c r="U227" s="14"/>
      <c r="W227" s="13"/>
      <c r="X227" s="13"/>
      <c r="Y227" s="13"/>
      <c r="Z227" s="13"/>
      <c r="AA227" s="13"/>
      <c r="AB227" s="13"/>
      <c r="AC227" s="13"/>
      <c r="AD227" s="13"/>
      <c r="AE227" s="13"/>
      <c r="AF227" s="2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1"/>
    </row>
    <row r="228" spans="1:43" x14ac:dyDescent="0.25">
      <c r="A228" s="8"/>
      <c r="M228" s="27"/>
      <c r="N228" s="14"/>
      <c r="O228" s="14"/>
      <c r="P228" s="14"/>
      <c r="Q228" s="14"/>
      <c r="R228" s="14"/>
      <c r="S228" s="14"/>
      <c r="T228" s="14"/>
      <c r="U228" s="14"/>
      <c r="W228" s="13"/>
      <c r="X228" s="13"/>
      <c r="Y228" s="13"/>
      <c r="Z228" s="13"/>
      <c r="AA228" s="13"/>
      <c r="AB228" s="13"/>
      <c r="AC228" s="13"/>
      <c r="AD228" s="13"/>
      <c r="AE228" s="13"/>
      <c r="AF228" s="2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1"/>
    </row>
    <row r="229" spans="1:43" x14ac:dyDescent="0.25">
      <c r="A229" s="8"/>
      <c r="M229" s="27"/>
      <c r="N229" s="14"/>
      <c r="O229" s="14"/>
      <c r="P229" s="14"/>
      <c r="Q229" s="14"/>
      <c r="R229" s="14"/>
      <c r="S229" s="14"/>
      <c r="T229" s="14"/>
      <c r="U229" s="14"/>
      <c r="W229" s="13"/>
      <c r="X229" s="13"/>
      <c r="Y229" s="13"/>
      <c r="Z229" s="13"/>
      <c r="AA229" s="13"/>
      <c r="AB229" s="13"/>
      <c r="AC229" s="13"/>
      <c r="AD229" s="13"/>
      <c r="AE229" s="13"/>
      <c r="AF229" s="2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1"/>
    </row>
    <row r="230" spans="1:43" x14ac:dyDescent="0.25">
      <c r="A230" s="8"/>
      <c r="M230" s="27"/>
      <c r="N230" s="14"/>
      <c r="O230" s="14"/>
      <c r="P230" s="14"/>
      <c r="Q230" s="14"/>
      <c r="R230" s="14"/>
      <c r="S230" s="14"/>
      <c r="T230" s="14"/>
      <c r="U230" s="14"/>
      <c r="W230" s="13"/>
      <c r="X230" s="13"/>
      <c r="Y230" s="13"/>
      <c r="Z230" s="13"/>
      <c r="AA230" s="13"/>
      <c r="AB230" s="13"/>
      <c r="AC230" s="13"/>
      <c r="AD230" s="13"/>
      <c r="AE230" s="13"/>
      <c r="AF230" s="2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1"/>
    </row>
    <row r="231" spans="1:43" x14ac:dyDescent="0.25">
      <c r="A231" s="8"/>
      <c r="M231" s="27"/>
      <c r="N231" s="14"/>
      <c r="O231" s="14"/>
      <c r="P231" s="14"/>
      <c r="Q231" s="14"/>
      <c r="R231" s="14"/>
      <c r="S231" s="14"/>
      <c r="T231" s="14"/>
      <c r="U231" s="14"/>
      <c r="W231" s="13"/>
      <c r="X231" s="13"/>
      <c r="Y231" s="13"/>
      <c r="Z231" s="13"/>
      <c r="AA231" s="13"/>
      <c r="AB231" s="13"/>
      <c r="AC231" s="13"/>
      <c r="AD231" s="13"/>
      <c r="AE231" s="13"/>
      <c r="AF231" s="2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1"/>
    </row>
    <row r="232" spans="1:43" x14ac:dyDescent="0.25">
      <c r="A232" s="8"/>
      <c r="M232" s="27"/>
      <c r="N232" s="14"/>
      <c r="O232" s="14"/>
      <c r="P232" s="14"/>
      <c r="Q232" s="14"/>
      <c r="R232" s="14"/>
      <c r="S232" s="14"/>
      <c r="T232" s="14"/>
      <c r="U232" s="14"/>
      <c r="W232" s="13"/>
      <c r="X232" s="13"/>
      <c r="Y232" s="13"/>
      <c r="Z232" s="13"/>
      <c r="AA232" s="13"/>
      <c r="AB232" s="13"/>
      <c r="AC232" s="13"/>
      <c r="AD232" s="13"/>
      <c r="AE232" s="13"/>
      <c r="AF232" s="2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1"/>
    </row>
    <row r="233" spans="1:43" x14ac:dyDescent="0.25">
      <c r="A233" s="8"/>
      <c r="M233" s="27"/>
      <c r="N233" s="14"/>
      <c r="O233" s="14"/>
      <c r="P233" s="14"/>
      <c r="Q233" s="14"/>
      <c r="R233" s="14"/>
      <c r="S233" s="14"/>
      <c r="T233" s="14"/>
      <c r="U233" s="14"/>
      <c r="W233" s="13"/>
      <c r="X233" s="13"/>
      <c r="Y233" s="13"/>
      <c r="Z233" s="13"/>
      <c r="AA233" s="13"/>
      <c r="AB233" s="13"/>
      <c r="AC233" s="13"/>
      <c r="AD233" s="13"/>
      <c r="AE233" s="13"/>
      <c r="AF233" s="2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1"/>
    </row>
    <row r="234" spans="1:43" x14ac:dyDescent="0.25">
      <c r="A234" s="8"/>
      <c r="M234" s="27"/>
      <c r="N234" s="14"/>
      <c r="O234" s="14"/>
      <c r="P234" s="14"/>
      <c r="Q234" s="14"/>
      <c r="R234" s="14"/>
      <c r="S234" s="14"/>
      <c r="T234" s="14"/>
      <c r="U234" s="14"/>
      <c r="W234" s="13"/>
      <c r="X234" s="13"/>
      <c r="Y234" s="13"/>
      <c r="Z234" s="13"/>
      <c r="AA234" s="13"/>
      <c r="AB234" s="13"/>
      <c r="AC234" s="13"/>
      <c r="AD234" s="13"/>
      <c r="AE234" s="13"/>
      <c r="AF234" s="2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1"/>
    </row>
    <row r="235" spans="1:43" x14ac:dyDescent="0.25">
      <c r="A235" s="8"/>
      <c r="M235" s="27"/>
      <c r="N235" s="14"/>
      <c r="O235" s="14"/>
      <c r="P235" s="14"/>
      <c r="Q235" s="14"/>
      <c r="R235" s="14"/>
      <c r="S235" s="14"/>
      <c r="T235" s="14"/>
      <c r="U235" s="14"/>
      <c r="W235" s="13"/>
      <c r="X235" s="13"/>
      <c r="Y235" s="13"/>
      <c r="Z235" s="13"/>
      <c r="AA235" s="13"/>
      <c r="AB235" s="13"/>
      <c r="AC235" s="13"/>
      <c r="AD235" s="13"/>
      <c r="AE235" s="13"/>
      <c r="AF235" s="2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1"/>
    </row>
    <row r="236" spans="1:43" x14ac:dyDescent="0.25">
      <c r="A236" s="8"/>
      <c r="M236" s="27"/>
      <c r="N236" s="14"/>
      <c r="O236" s="14"/>
      <c r="P236" s="14"/>
      <c r="Q236" s="14"/>
      <c r="R236" s="14"/>
      <c r="S236" s="14"/>
      <c r="T236" s="14"/>
      <c r="U236" s="14"/>
      <c r="W236" s="13"/>
      <c r="X236" s="13"/>
      <c r="Y236" s="13"/>
      <c r="Z236" s="13"/>
      <c r="AA236" s="13"/>
      <c r="AB236" s="13"/>
      <c r="AC236" s="13"/>
      <c r="AD236" s="13"/>
      <c r="AE236" s="13"/>
      <c r="AF236" s="2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1"/>
    </row>
    <row r="237" spans="1:43" x14ac:dyDescent="0.25">
      <c r="A237" s="8"/>
      <c r="M237" s="27"/>
      <c r="N237" s="14"/>
      <c r="O237" s="14"/>
      <c r="P237" s="14"/>
      <c r="Q237" s="14"/>
      <c r="R237" s="14"/>
      <c r="S237" s="14"/>
      <c r="T237" s="14"/>
      <c r="U237" s="14"/>
      <c r="W237" s="13"/>
      <c r="X237" s="13"/>
      <c r="Y237" s="13"/>
      <c r="Z237" s="13"/>
      <c r="AA237" s="13"/>
      <c r="AB237" s="13"/>
      <c r="AC237" s="13"/>
      <c r="AD237" s="13"/>
      <c r="AE237" s="13"/>
      <c r="AF237" s="2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1"/>
    </row>
    <row r="238" spans="1:43" x14ac:dyDescent="0.25">
      <c r="A238" s="8"/>
      <c r="M238" s="27"/>
      <c r="N238" s="14"/>
      <c r="O238" s="14"/>
      <c r="P238" s="14"/>
      <c r="Q238" s="14"/>
      <c r="R238" s="14"/>
      <c r="S238" s="14"/>
      <c r="T238" s="14"/>
      <c r="U238" s="14"/>
      <c r="W238" s="13"/>
      <c r="X238" s="13"/>
      <c r="Y238" s="13"/>
      <c r="Z238" s="13"/>
      <c r="AA238" s="13"/>
      <c r="AB238" s="13"/>
      <c r="AC238" s="13"/>
      <c r="AD238" s="13"/>
      <c r="AE238" s="13"/>
      <c r="AF238" s="2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1"/>
    </row>
    <row r="239" spans="1:43" x14ac:dyDescent="0.25">
      <c r="A239" s="8"/>
      <c r="M239" s="27"/>
      <c r="N239" s="14"/>
      <c r="O239" s="14"/>
      <c r="P239" s="14"/>
      <c r="Q239" s="14"/>
      <c r="R239" s="14"/>
      <c r="S239" s="14"/>
      <c r="T239" s="14"/>
      <c r="U239" s="14"/>
      <c r="W239" s="13"/>
      <c r="X239" s="13"/>
      <c r="Y239" s="13"/>
      <c r="Z239" s="13"/>
      <c r="AA239" s="13"/>
      <c r="AB239" s="13"/>
      <c r="AC239" s="13"/>
      <c r="AD239" s="13"/>
      <c r="AE239" s="13"/>
      <c r="AF239" s="2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1"/>
    </row>
    <row r="240" spans="1:43" x14ac:dyDescent="0.25">
      <c r="A240" s="8"/>
      <c r="M240" s="27"/>
      <c r="N240" s="14"/>
      <c r="O240" s="14"/>
      <c r="P240" s="14"/>
      <c r="Q240" s="14"/>
      <c r="R240" s="14"/>
      <c r="S240" s="14"/>
      <c r="T240" s="14"/>
      <c r="U240" s="14"/>
      <c r="W240" s="13"/>
      <c r="X240" s="13"/>
      <c r="Y240" s="13"/>
      <c r="Z240" s="13"/>
      <c r="AA240" s="13"/>
      <c r="AB240" s="13"/>
      <c r="AC240" s="13"/>
      <c r="AD240" s="13"/>
      <c r="AE240" s="13"/>
      <c r="AF240" s="2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1"/>
    </row>
    <row r="241" spans="1:43" x14ac:dyDescent="0.25">
      <c r="A241" s="8"/>
      <c r="M241" s="27"/>
      <c r="N241" s="14"/>
      <c r="O241" s="14"/>
      <c r="P241" s="14"/>
      <c r="Q241" s="14"/>
      <c r="R241" s="14"/>
      <c r="S241" s="14"/>
      <c r="T241" s="14"/>
      <c r="U241" s="14"/>
      <c r="W241" s="13"/>
      <c r="X241" s="13"/>
      <c r="Y241" s="13"/>
      <c r="Z241" s="13"/>
      <c r="AA241" s="13"/>
      <c r="AB241" s="13"/>
      <c r="AC241" s="13"/>
      <c r="AD241" s="13"/>
      <c r="AE241" s="13"/>
      <c r="AF241" s="2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1"/>
    </row>
    <row r="242" spans="1:43" x14ac:dyDescent="0.25">
      <c r="A242" s="8"/>
      <c r="M242" s="27"/>
      <c r="N242" s="14"/>
      <c r="O242" s="14"/>
      <c r="P242" s="14"/>
      <c r="Q242" s="14"/>
      <c r="R242" s="14"/>
      <c r="S242" s="14"/>
      <c r="T242" s="14"/>
      <c r="U242" s="14"/>
      <c r="W242" s="13"/>
      <c r="X242" s="13"/>
      <c r="Y242" s="13"/>
      <c r="Z242" s="13"/>
      <c r="AA242" s="13"/>
      <c r="AB242" s="13"/>
      <c r="AC242" s="13"/>
      <c r="AD242" s="13"/>
      <c r="AE242" s="13"/>
      <c r="AF242" s="2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1"/>
    </row>
    <row r="243" spans="1:43" x14ac:dyDescent="0.25">
      <c r="A243" s="8"/>
      <c r="M243" s="27"/>
      <c r="N243" s="14"/>
      <c r="O243" s="14"/>
      <c r="P243" s="14"/>
      <c r="Q243" s="14"/>
      <c r="R243" s="14"/>
      <c r="S243" s="14"/>
      <c r="T243" s="14"/>
      <c r="U243" s="14"/>
      <c r="W243" s="13"/>
      <c r="X243" s="13"/>
      <c r="Y243" s="13"/>
      <c r="Z243" s="13"/>
      <c r="AA243" s="13"/>
      <c r="AB243" s="13"/>
      <c r="AC243" s="13"/>
      <c r="AD243" s="13"/>
      <c r="AE243" s="13"/>
      <c r="AF243" s="2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1"/>
    </row>
    <row r="244" spans="1:43" x14ac:dyDescent="0.25">
      <c r="A244" s="8"/>
      <c r="M244" s="27"/>
      <c r="N244" s="14"/>
      <c r="O244" s="14"/>
      <c r="P244" s="14"/>
      <c r="Q244" s="14"/>
      <c r="R244" s="14"/>
      <c r="S244" s="14"/>
      <c r="T244" s="14"/>
      <c r="U244" s="14"/>
      <c r="W244" s="13"/>
      <c r="X244" s="13"/>
      <c r="Y244" s="13"/>
      <c r="Z244" s="13"/>
      <c r="AA244" s="13"/>
      <c r="AB244" s="13"/>
      <c r="AC244" s="13"/>
      <c r="AD244" s="13"/>
      <c r="AE244" s="13"/>
      <c r="AF244" s="2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1"/>
    </row>
    <row r="245" spans="1:43" x14ac:dyDescent="0.25">
      <c r="A245" s="8"/>
      <c r="M245" s="27"/>
      <c r="N245" s="14"/>
      <c r="O245" s="14"/>
      <c r="P245" s="14"/>
      <c r="Q245" s="14"/>
      <c r="R245" s="14"/>
      <c r="S245" s="14"/>
      <c r="T245" s="14"/>
      <c r="U245" s="14"/>
      <c r="W245" s="13"/>
      <c r="X245" s="13"/>
      <c r="Y245" s="13"/>
      <c r="Z245" s="13"/>
      <c r="AA245" s="13"/>
      <c r="AB245" s="13"/>
      <c r="AC245" s="13"/>
      <c r="AD245" s="13"/>
      <c r="AE245" s="13"/>
      <c r="AF245" s="2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1"/>
    </row>
    <row r="246" spans="1:43" x14ac:dyDescent="0.25">
      <c r="A246" s="8"/>
      <c r="M246" s="27"/>
      <c r="N246" s="14"/>
      <c r="O246" s="14"/>
      <c r="P246" s="14"/>
      <c r="Q246" s="14"/>
      <c r="R246" s="14"/>
      <c r="S246" s="14"/>
      <c r="T246" s="14"/>
      <c r="U246" s="14"/>
      <c r="W246" s="13"/>
      <c r="X246" s="13"/>
      <c r="Y246" s="13"/>
      <c r="Z246" s="13"/>
      <c r="AA246" s="13"/>
      <c r="AB246" s="13"/>
      <c r="AC246" s="13"/>
      <c r="AD246" s="13"/>
      <c r="AE246" s="13"/>
      <c r="AF246" s="2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1"/>
    </row>
    <row r="247" spans="1:43" x14ac:dyDescent="0.25">
      <c r="A247" s="8"/>
      <c r="M247" s="27"/>
      <c r="N247" s="14"/>
      <c r="O247" s="14"/>
      <c r="P247" s="14"/>
      <c r="Q247" s="14"/>
      <c r="R247" s="14"/>
      <c r="S247" s="14"/>
      <c r="T247" s="14"/>
      <c r="U247" s="14"/>
      <c r="W247" s="13"/>
      <c r="X247" s="13"/>
      <c r="Y247" s="13"/>
      <c r="Z247" s="13"/>
      <c r="AA247" s="13"/>
      <c r="AB247" s="13"/>
      <c r="AC247" s="13"/>
      <c r="AD247" s="13"/>
      <c r="AE247" s="13"/>
      <c r="AF247" s="2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1"/>
    </row>
    <row r="248" spans="1:43" x14ac:dyDescent="0.25">
      <c r="A248" s="8"/>
      <c r="M248" s="27"/>
      <c r="N248" s="14"/>
      <c r="O248" s="14"/>
      <c r="P248" s="14"/>
      <c r="Q248" s="14"/>
      <c r="R248" s="14"/>
      <c r="S248" s="14"/>
      <c r="T248" s="14"/>
      <c r="U248" s="14"/>
      <c r="W248" s="13"/>
      <c r="X248" s="13"/>
      <c r="Y248" s="13"/>
      <c r="Z248" s="13"/>
      <c r="AA248" s="13"/>
      <c r="AB248" s="13"/>
      <c r="AC248" s="13"/>
      <c r="AD248" s="13"/>
      <c r="AE248" s="13"/>
      <c r="AF248" s="2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1"/>
    </row>
    <row r="249" spans="1:43" x14ac:dyDescent="0.25">
      <c r="A249" s="8"/>
      <c r="M249" s="27"/>
      <c r="N249" s="14"/>
      <c r="O249" s="14"/>
      <c r="P249" s="14"/>
      <c r="Q249" s="14"/>
      <c r="R249" s="14"/>
      <c r="S249" s="14"/>
      <c r="T249" s="14"/>
      <c r="U249" s="14"/>
      <c r="W249" s="13"/>
      <c r="X249" s="13"/>
      <c r="Y249" s="13"/>
      <c r="Z249" s="13"/>
      <c r="AA249" s="13"/>
      <c r="AB249" s="13"/>
      <c r="AC249" s="13"/>
      <c r="AD249" s="13"/>
      <c r="AE249" s="13"/>
      <c r="AF249" s="2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1"/>
    </row>
    <row r="250" spans="1:43" x14ac:dyDescent="0.25">
      <c r="A250" s="8"/>
      <c r="M250" s="27"/>
      <c r="N250" s="14"/>
      <c r="O250" s="14"/>
      <c r="P250" s="14"/>
      <c r="Q250" s="14"/>
      <c r="R250" s="14"/>
      <c r="S250" s="14"/>
      <c r="T250" s="14"/>
      <c r="U250" s="14"/>
      <c r="W250" s="13"/>
      <c r="X250" s="13"/>
      <c r="Y250" s="13"/>
      <c r="Z250" s="13"/>
      <c r="AA250" s="13"/>
      <c r="AB250" s="13"/>
      <c r="AC250" s="13"/>
      <c r="AD250" s="13"/>
      <c r="AE250" s="13"/>
      <c r="AF250" s="2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1"/>
    </row>
    <row r="251" spans="1:43" x14ac:dyDescent="0.25">
      <c r="A251" s="8"/>
      <c r="M251" s="27"/>
      <c r="N251" s="14"/>
      <c r="O251" s="14"/>
      <c r="P251" s="14"/>
      <c r="Q251" s="14"/>
      <c r="R251" s="14"/>
      <c r="S251" s="14"/>
      <c r="T251" s="14"/>
      <c r="U251" s="14"/>
      <c r="W251" s="13"/>
      <c r="X251" s="13"/>
      <c r="Y251" s="13"/>
      <c r="Z251" s="13"/>
      <c r="AA251" s="13"/>
      <c r="AB251" s="13"/>
      <c r="AC251" s="13"/>
      <c r="AD251" s="13"/>
      <c r="AE251" s="13"/>
      <c r="AF251" s="2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1"/>
    </row>
    <row r="252" spans="1:43" x14ac:dyDescent="0.25">
      <c r="A252" s="8"/>
      <c r="M252" s="27"/>
      <c r="N252" s="14"/>
      <c r="O252" s="14"/>
      <c r="P252" s="14"/>
      <c r="Q252" s="14"/>
      <c r="R252" s="14"/>
      <c r="S252" s="14"/>
      <c r="T252" s="14"/>
      <c r="U252" s="14"/>
      <c r="W252" s="13"/>
      <c r="X252" s="13"/>
      <c r="Y252" s="13"/>
      <c r="Z252" s="13"/>
      <c r="AA252" s="13"/>
      <c r="AB252" s="13"/>
      <c r="AC252" s="13"/>
      <c r="AD252" s="13"/>
      <c r="AE252" s="13"/>
      <c r="AF252" s="2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1"/>
    </row>
    <row r="253" spans="1:43" x14ac:dyDescent="0.25">
      <c r="A253" s="8"/>
      <c r="M253" s="27"/>
      <c r="N253" s="14"/>
      <c r="O253" s="14"/>
      <c r="P253" s="14"/>
      <c r="Q253" s="14"/>
      <c r="R253" s="14"/>
      <c r="S253" s="14"/>
      <c r="T253" s="14"/>
      <c r="U253" s="14"/>
      <c r="W253" s="13"/>
      <c r="X253" s="13"/>
      <c r="Y253" s="13"/>
      <c r="Z253" s="13"/>
      <c r="AA253" s="13"/>
      <c r="AB253" s="13"/>
      <c r="AC253" s="13"/>
      <c r="AD253" s="13"/>
      <c r="AE253" s="13"/>
      <c r="AF253" s="2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1"/>
    </row>
    <row r="254" spans="1:43" x14ac:dyDescent="0.25">
      <c r="A254" s="8"/>
      <c r="M254" s="27"/>
      <c r="N254" s="14"/>
      <c r="O254" s="14"/>
      <c r="P254" s="14"/>
      <c r="Q254" s="14"/>
      <c r="R254" s="14"/>
      <c r="S254" s="14"/>
      <c r="T254" s="14"/>
      <c r="U254" s="14"/>
      <c r="W254" s="13"/>
      <c r="X254" s="13"/>
      <c r="Y254" s="13"/>
      <c r="Z254" s="13"/>
      <c r="AA254" s="13"/>
      <c r="AB254" s="13"/>
      <c r="AC254" s="13"/>
      <c r="AD254" s="13"/>
      <c r="AE254" s="13"/>
      <c r="AF254" s="2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1"/>
    </row>
    <row r="255" spans="1:43" x14ac:dyDescent="0.25">
      <c r="A255" s="8"/>
      <c r="M255" s="27"/>
      <c r="N255" s="14"/>
      <c r="O255" s="14"/>
      <c r="P255" s="14"/>
      <c r="Q255" s="14"/>
      <c r="R255" s="14"/>
      <c r="S255" s="14"/>
      <c r="T255" s="14"/>
      <c r="U255" s="14"/>
      <c r="W255" s="13"/>
      <c r="X255" s="13"/>
      <c r="Y255" s="13"/>
      <c r="Z255" s="13"/>
      <c r="AA255" s="13"/>
      <c r="AB255" s="13"/>
      <c r="AC255" s="13"/>
      <c r="AD255" s="13"/>
      <c r="AE255" s="13"/>
      <c r="AF255" s="2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1"/>
    </row>
    <row r="256" spans="1:43" x14ac:dyDescent="0.25">
      <c r="A256" s="8"/>
      <c r="M256" s="27"/>
      <c r="N256" s="14"/>
      <c r="O256" s="14"/>
      <c r="P256" s="14"/>
      <c r="Q256" s="14"/>
      <c r="R256" s="14"/>
      <c r="S256" s="14"/>
      <c r="T256" s="14"/>
      <c r="U256" s="14"/>
      <c r="W256" s="13"/>
      <c r="X256" s="13"/>
      <c r="Y256" s="13"/>
      <c r="Z256" s="13"/>
      <c r="AA256" s="13"/>
      <c r="AB256" s="13"/>
      <c r="AC256" s="13"/>
      <c r="AD256" s="13"/>
      <c r="AE256" s="13"/>
      <c r="AF256" s="2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1"/>
    </row>
    <row r="257" spans="1:43" x14ac:dyDescent="0.25">
      <c r="A257" s="8"/>
      <c r="M257" s="27"/>
      <c r="N257" s="14"/>
      <c r="O257" s="14"/>
      <c r="P257" s="14"/>
      <c r="Q257" s="14"/>
      <c r="R257" s="14"/>
      <c r="S257" s="14"/>
      <c r="T257" s="14"/>
      <c r="U257" s="14"/>
      <c r="W257" s="13"/>
      <c r="X257" s="13"/>
      <c r="Y257" s="13"/>
      <c r="Z257" s="13"/>
      <c r="AA257" s="13"/>
      <c r="AB257" s="13"/>
      <c r="AC257" s="13"/>
      <c r="AD257" s="13"/>
      <c r="AE257" s="13"/>
      <c r="AF257" s="2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1"/>
    </row>
    <row r="258" spans="1:43" x14ac:dyDescent="0.25">
      <c r="A258" s="8"/>
      <c r="M258" s="27"/>
      <c r="N258" s="14"/>
      <c r="O258" s="14"/>
      <c r="P258" s="14"/>
      <c r="Q258" s="14"/>
      <c r="R258" s="14"/>
      <c r="S258" s="14"/>
      <c r="T258" s="14"/>
      <c r="U258" s="14"/>
      <c r="W258" s="13"/>
      <c r="X258" s="13"/>
      <c r="Y258" s="13"/>
      <c r="Z258" s="13"/>
      <c r="AA258" s="13"/>
      <c r="AB258" s="13"/>
      <c r="AC258" s="13"/>
      <c r="AD258" s="13"/>
      <c r="AE258" s="13"/>
      <c r="AF258" s="2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1"/>
    </row>
    <row r="259" spans="1:43" x14ac:dyDescent="0.25">
      <c r="A259" s="8"/>
      <c r="M259" s="27"/>
      <c r="N259" s="14"/>
      <c r="O259" s="14"/>
      <c r="P259" s="14"/>
      <c r="Q259" s="14"/>
      <c r="R259" s="14"/>
      <c r="S259" s="14"/>
      <c r="T259" s="14"/>
      <c r="U259" s="14"/>
      <c r="W259" s="13"/>
      <c r="X259" s="13"/>
      <c r="Y259" s="13"/>
      <c r="Z259" s="13"/>
      <c r="AA259" s="13"/>
      <c r="AB259" s="13"/>
      <c r="AC259" s="13"/>
      <c r="AD259" s="13"/>
      <c r="AE259" s="13"/>
      <c r="AF259" s="2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1"/>
    </row>
    <row r="260" spans="1:43" x14ac:dyDescent="0.25">
      <c r="A260" s="8"/>
      <c r="M260" s="27"/>
      <c r="N260" s="14"/>
      <c r="O260" s="14"/>
      <c r="P260" s="14"/>
      <c r="Q260" s="14"/>
      <c r="R260" s="14"/>
      <c r="S260" s="14"/>
      <c r="T260" s="14"/>
      <c r="U260" s="14"/>
      <c r="W260" s="13"/>
      <c r="X260" s="13"/>
      <c r="Y260" s="13"/>
      <c r="Z260" s="13"/>
      <c r="AA260" s="13"/>
      <c r="AB260" s="13"/>
      <c r="AC260" s="13"/>
      <c r="AD260" s="13"/>
      <c r="AE260" s="13"/>
      <c r="AF260" s="2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1"/>
    </row>
    <row r="261" spans="1:43" x14ac:dyDescent="0.25">
      <c r="A261" s="8"/>
      <c r="M261" s="27"/>
      <c r="N261" s="14"/>
      <c r="O261" s="14"/>
      <c r="P261" s="14"/>
      <c r="Q261" s="14"/>
      <c r="R261" s="14"/>
      <c r="S261" s="14"/>
      <c r="T261" s="14"/>
      <c r="U261" s="14"/>
      <c r="W261" s="13"/>
      <c r="X261" s="13"/>
      <c r="Y261" s="13"/>
      <c r="Z261" s="13"/>
      <c r="AA261" s="13"/>
      <c r="AB261" s="13"/>
      <c r="AC261" s="13"/>
      <c r="AD261" s="13"/>
      <c r="AE261" s="13"/>
      <c r="AF261" s="2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1"/>
    </row>
    <row r="262" spans="1:43" x14ac:dyDescent="0.25">
      <c r="A262" s="8"/>
      <c r="M262" s="27"/>
      <c r="N262" s="14"/>
      <c r="O262" s="14"/>
      <c r="P262" s="14"/>
      <c r="Q262" s="14"/>
      <c r="R262" s="14"/>
      <c r="S262" s="14"/>
      <c r="T262" s="14"/>
      <c r="U262" s="14"/>
      <c r="W262" s="13"/>
      <c r="X262" s="13"/>
      <c r="Y262" s="13"/>
      <c r="Z262" s="13"/>
      <c r="AA262" s="13"/>
      <c r="AB262" s="13"/>
      <c r="AC262" s="13"/>
      <c r="AD262" s="13"/>
      <c r="AE262" s="13"/>
      <c r="AF262" s="2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1"/>
    </row>
    <row r="263" spans="1:43" x14ac:dyDescent="0.25">
      <c r="A263" s="8"/>
      <c r="M263" s="27"/>
      <c r="N263" s="14"/>
      <c r="O263" s="14"/>
      <c r="P263" s="14"/>
      <c r="Q263" s="14"/>
      <c r="R263" s="14"/>
      <c r="S263" s="14"/>
      <c r="T263" s="14"/>
      <c r="U263" s="14"/>
      <c r="W263" s="13"/>
      <c r="X263" s="13"/>
      <c r="Y263" s="13"/>
      <c r="Z263" s="13"/>
      <c r="AA263" s="13"/>
      <c r="AB263" s="13"/>
      <c r="AC263" s="13"/>
      <c r="AD263" s="13"/>
      <c r="AE263" s="13"/>
      <c r="AF263" s="2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1"/>
    </row>
    <row r="264" spans="1:43" x14ac:dyDescent="0.25">
      <c r="A264" s="8"/>
      <c r="M264" s="27"/>
      <c r="N264" s="14"/>
      <c r="O264" s="14"/>
      <c r="P264" s="14"/>
      <c r="Q264" s="14"/>
      <c r="R264" s="14"/>
      <c r="S264" s="14"/>
      <c r="T264" s="14"/>
      <c r="U264" s="14"/>
      <c r="W264" s="13"/>
      <c r="X264" s="13"/>
      <c r="Y264" s="13"/>
      <c r="Z264" s="13"/>
      <c r="AA264" s="13"/>
      <c r="AB264" s="13"/>
      <c r="AC264" s="13"/>
      <c r="AD264" s="13"/>
      <c r="AE264" s="13"/>
      <c r="AF264" s="2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1"/>
    </row>
    <row r="265" spans="1:43" x14ac:dyDescent="0.25">
      <c r="A265" s="8"/>
      <c r="M265" s="27"/>
      <c r="N265" s="14"/>
      <c r="O265" s="14"/>
      <c r="P265" s="14"/>
      <c r="Q265" s="14"/>
      <c r="R265" s="14"/>
      <c r="S265" s="14"/>
      <c r="T265" s="14"/>
      <c r="U265" s="14"/>
      <c r="W265" s="13"/>
      <c r="X265" s="13"/>
      <c r="Y265" s="13"/>
      <c r="Z265" s="13"/>
      <c r="AA265" s="13"/>
      <c r="AB265" s="13"/>
      <c r="AC265" s="13"/>
      <c r="AD265" s="13"/>
      <c r="AE265" s="13"/>
      <c r="AF265" s="2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1"/>
    </row>
    <row r="266" spans="1:43" x14ac:dyDescent="0.25">
      <c r="A266" s="8"/>
      <c r="M266" s="27"/>
      <c r="N266" s="14"/>
      <c r="O266" s="14"/>
      <c r="P266" s="14"/>
      <c r="Q266" s="14"/>
      <c r="R266" s="14"/>
      <c r="S266" s="14"/>
      <c r="T266" s="14"/>
      <c r="U266" s="14"/>
      <c r="W266" s="13"/>
      <c r="X266" s="13"/>
      <c r="Y266" s="13"/>
      <c r="Z266" s="13"/>
      <c r="AA266" s="13"/>
      <c r="AB266" s="13"/>
      <c r="AC266" s="13"/>
      <c r="AD266" s="13"/>
      <c r="AE266" s="13"/>
      <c r="AF266" s="2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1"/>
    </row>
    <row r="267" spans="1:43" x14ac:dyDescent="0.25">
      <c r="A267" s="8"/>
      <c r="M267" s="27"/>
      <c r="N267" s="14"/>
      <c r="O267" s="14"/>
      <c r="P267" s="14"/>
      <c r="Q267" s="14"/>
      <c r="R267" s="14"/>
      <c r="S267" s="14"/>
      <c r="T267" s="14"/>
      <c r="U267" s="14"/>
      <c r="W267" s="13"/>
      <c r="X267" s="13"/>
      <c r="Y267" s="13"/>
      <c r="Z267" s="13"/>
      <c r="AA267" s="13"/>
      <c r="AB267" s="13"/>
      <c r="AC267" s="13"/>
      <c r="AD267" s="13"/>
      <c r="AE267" s="13"/>
      <c r="AF267" s="2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1"/>
    </row>
    <row r="268" spans="1:43" x14ac:dyDescent="0.25">
      <c r="A268" s="8"/>
      <c r="M268" s="27"/>
      <c r="N268" s="14"/>
      <c r="O268" s="14"/>
      <c r="P268" s="14"/>
      <c r="Q268" s="14"/>
      <c r="R268" s="14"/>
      <c r="S268" s="14"/>
      <c r="T268" s="14"/>
      <c r="U268" s="14"/>
      <c r="W268" s="13"/>
      <c r="X268" s="13"/>
      <c r="Y268" s="13"/>
      <c r="Z268" s="13"/>
      <c r="AA268" s="13"/>
      <c r="AB268" s="13"/>
      <c r="AC268" s="13"/>
      <c r="AD268" s="13"/>
      <c r="AE268" s="13"/>
      <c r="AF268" s="2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1"/>
    </row>
    <row r="269" spans="1:43" x14ac:dyDescent="0.25">
      <c r="A269" s="8"/>
      <c r="M269" s="27"/>
      <c r="N269" s="14"/>
      <c r="O269" s="14"/>
      <c r="P269" s="14"/>
      <c r="Q269" s="14"/>
      <c r="R269" s="14"/>
      <c r="S269" s="14"/>
      <c r="T269" s="14"/>
      <c r="U269" s="14"/>
      <c r="W269" s="13"/>
      <c r="X269" s="13"/>
      <c r="Y269" s="13"/>
      <c r="Z269" s="13"/>
      <c r="AA269" s="13"/>
      <c r="AB269" s="13"/>
      <c r="AC269" s="13"/>
      <c r="AD269" s="13"/>
      <c r="AE269" s="13"/>
      <c r="AF269" s="2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1"/>
    </row>
    <row r="270" spans="1:43" x14ac:dyDescent="0.25">
      <c r="A270" s="8"/>
      <c r="M270" s="27"/>
      <c r="N270" s="14"/>
      <c r="O270" s="14"/>
      <c r="P270" s="14"/>
      <c r="Q270" s="14"/>
      <c r="R270" s="14"/>
      <c r="S270" s="14"/>
      <c r="T270" s="14"/>
      <c r="U270" s="14"/>
      <c r="W270" s="13"/>
      <c r="X270" s="13"/>
      <c r="Y270" s="13"/>
      <c r="Z270" s="13"/>
      <c r="AA270" s="13"/>
      <c r="AB270" s="13"/>
      <c r="AC270" s="13"/>
      <c r="AD270" s="13"/>
      <c r="AE270" s="13"/>
      <c r="AF270" s="2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1"/>
    </row>
    <row r="271" spans="1:43" x14ac:dyDescent="0.25">
      <c r="A271" s="8"/>
      <c r="M271" s="27"/>
      <c r="N271" s="14"/>
      <c r="O271" s="14"/>
      <c r="P271" s="14"/>
      <c r="Q271" s="14"/>
      <c r="R271" s="14"/>
      <c r="S271" s="14"/>
      <c r="T271" s="14"/>
      <c r="U271" s="14"/>
      <c r="W271" s="13"/>
      <c r="X271" s="13"/>
      <c r="Y271" s="13"/>
      <c r="Z271" s="13"/>
      <c r="AA271" s="13"/>
      <c r="AB271" s="13"/>
      <c r="AC271" s="13"/>
      <c r="AD271" s="13"/>
      <c r="AE271" s="13"/>
      <c r="AF271" s="2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1"/>
    </row>
    <row r="272" spans="1:43" x14ac:dyDescent="0.25">
      <c r="A272" s="8"/>
      <c r="M272" s="27"/>
      <c r="N272" s="14"/>
      <c r="O272" s="14"/>
      <c r="P272" s="14"/>
      <c r="Q272" s="14"/>
      <c r="R272" s="14"/>
      <c r="S272" s="14"/>
      <c r="T272" s="14"/>
      <c r="U272" s="14"/>
      <c r="W272" s="13"/>
      <c r="X272" s="13"/>
      <c r="Y272" s="13"/>
      <c r="Z272" s="13"/>
      <c r="AA272" s="13"/>
      <c r="AB272" s="13"/>
      <c r="AC272" s="13"/>
      <c r="AD272" s="13"/>
      <c r="AE272" s="13"/>
      <c r="AF272" s="2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1"/>
    </row>
    <row r="273" spans="1:43" x14ac:dyDescent="0.25">
      <c r="A273" s="8"/>
      <c r="M273" s="27"/>
      <c r="N273" s="14"/>
      <c r="O273" s="14"/>
      <c r="P273" s="14"/>
      <c r="Q273" s="14"/>
      <c r="R273" s="14"/>
      <c r="S273" s="14"/>
      <c r="T273" s="14"/>
      <c r="U273" s="14"/>
      <c r="W273" s="13"/>
      <c r="X273" s="13"/>
      <c r="Y273" s="13"/>
      <c r="Z273" s="13"/>
      <c r="AA273" s="13"/>
      <c r="AB273" s="13"/>
      <c r="AC273" s="13"/>
      <c r="AD273" s="13"/>
      <c r="AE273" s="13"/>
      <c r="AF273" s="2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1"/>
    </row>
    <row r="274" spans="1:43" x14ac:dyDescent="0.25">
      <c r="A274" s="8"/>
      <c r="M274" s="27"/>
      <c r="N274" s="14"/>
      <c r="O274" s="14"/>
      <c r="P274" s="14"/>
      <c r="Q274" s="14"/>
      <c r="R274" s="14"/>
      <c r="S274" s="14"/>
      <c r="T274" s="14"/>
      <c r="U274" s="14"/>
      <c r="W274" s="13"/>
      <c r="X274" s="13"/>
      <c r="Y274" s="13"/>
      <c r="Z274" s="13"/>
      <c r="AA274" s="13"/>
      <c r="AB274" s="13"/>
      <c r="AC274" s="13"/>
      <c r="AD274" s="13"/>
      <c r="AE274" s="13"/>
      <c r="AF274" s="2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1"/>
    </row>
    <row r="275" spans="1:43" x14ac:dyDescent="0.25">
      <c r="A275" s="8"/>
      <c r="M275" s="27"/>
      <c r="N275" s="14"/>
      <c r="O275" s="14"/>
      <c r="P275" s="14"/>
      <c r="Q275" s="14"/>
      <c r="R275" s="14"/>
      <c r="S275" s="14"/>
      <c r="T275" s="14"/>
      <c r="U275" s="14"/>
      <c r="W275" s="13"/>
      <c r="X275" s="13"/>
      <c r="Y275" s="13"/>
      <c r="Z275" s="13"/>
      <c r="AA275" s="13"/>
      <c r="AB275" s="13"/>
      <c r="AC275" s="13"/>
      <c r="AD275" s="13"/>
      <c r="AE275" s="13"/>
      <c r="AF275" s="2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1"/>
    </row>
    <row r="276" spans="1:43" x14ac:dyDescent="0.25">
      <c r="A276" s="8"/>
      <c r="M276" s="27"/>
      <c r="N276" s="14"/>
      <c r="O276" s="14"/>
      <c r="P276" s="14"/>
      <c r="Q276" s="14"/>
      <c r="R276" s="14"/>
      <c r="S276" s="14"/>
      <c r="T276" s="14"/>
      <c r="U276" s="14"/>
      <c r="W276" s="13"/>
      <c r="X276" s="13"/>
      <c r="Y276" s="13"/>
      <c r="Z276" s="13"/>
      <c r="AA276" s="13"/>
      <c r="AB276" s="13"/>
      <c r="AC276" s="13"/>
      <c r="AD276" s="13"/>
      <c r="AE276" s="13"/>
      <c r="AF276" s="2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1"/>
    </row>
    <row r="277" spans="1:43" x14ac:dyDescent="0.25">
      <c r="A277" s="8"/>
      <c r="M277" s="27"/>
      <c r="N277" s="14"/>
      <c r="O277" s="14"/>
      <c r="P277" s="14"/>
      <c r="Q277" s="14"/>
      <c r="R277" s="14"/>
      <c r="S277" s="14"/>
      <c r="T277" s="14"/>
      <c r="U277" s="14"/>
      <c r="W277" s="13"/>
      <c r="X277" s="13"/>
      <c r="Y277" s="13"/>
      <c r="Z277" s="13"/>
      <c r="AA277" s="13"/>
      <c r="AB277" s="13"/>
      <c r="AC277" s="13"/>
      <c r="AD277" s="13"/>
      <c r="AE277" s="13"/>
      <c r="AF277" s="2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1"/>
    </row>
    <row r="278" spans="1:43" x14ac:dyDescent="0.25">
      <c r="A278" s="8"/>
      <c r="M278" s="27"/>
      <c r="N278" s="14"/>
      <c r="O278" s="14"/>
      <c r="P278" s="14"/>
      <c r="Q278" s="14"/>
      <c r="R278" s="14"/>
      <c r="S278" s="14"/>
      <c r="T278" s="14"/>
      <c r="U278" s="14"/>
      <c r="W278" s="13"/>
      <c r="X278" s="13"/>
      <c r="Y278" s="13"/>
      <c r="Z278" s="13"/>
      <c r="AA278" s="13"/>
      <c r="AB278" s="13"/>
      <c r="AC278" s="13"/>
      <c r="AD278" s="13"/>
      <c r="AE278" s="13"/>
      <c r="AF278" s="2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1"/>
    </row>
    <row r="279" spans="1:43" x14ac:dyDescent="0.25">
      <c r="A279" s="8"/>
      <c r="M279" s="27"/>
      <c r="N279" s="14"/>
      <c r="O279" s="14"/>
      <c r="P279" s="14"/>
      <c r="Q279" s="14"/>
      <c r="R279" s="14"/>
      <c r="S279" s="14"/>
      <c r="T279" s="14"/>
      <c r="U279" s="14"/>
      <c r="W279" s="13"/>
      <c r="X279" s="13"/>
      <c r="Y279" s="13"/>
      <c r="Z279" s="13"/>
      <c r="AA279" s="13"/>
      <c r="AB279" s="13"/>
      <c r="AC279" s="13"/>
      <c r="AD279" s="13"/>
      <c r="AE279" s="13"/>
      <c r="AF279" s="2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1"/>
    </row>
    <row r="280" spans="1:43" x14ac:dyDescent="0.25">
      <c r="A280" s="8"/>
      <c r="M280" s="27"/>
      <c r="N280" s="14"/>
      <c r="O280" s="14"/>
      <c r="P280" s="14"/>
      <c r="Q280" s="14"/>
      <c r="R280" s="14"/>
      <c r="S280" s="14"/>
      <c r="T280" s="14"/>
      <c r="U280" s="14"/>
      <c r="W280" s="13"/>
      <c r="X280" s="13"/>
      <c r="Y280" s="13"/>
      <c r="Z280" s="13"/>
      <c r="AA280" s="13"/>
      <c r="AB280" s="13"/>
      <c r="AC280" s="13"/>
      <c r="AD280" s="13"/>
      <c r="AE280" s="13"/>
      <c r="AF280" s="2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1"/>
    </row>
    <row r="281" spans="1:43" x14ac:dyDescent="0.25">
      <c r="A281" s="8"/>
      <c r="M281" s="27"/>
      <c r="N281" s="14"/>
      <c r="O281" s="14"/>
      <c r="P281" s="14"/>
      <c r="Q281" s="14"/>
      <c r="R281" s="14"/>
      <c r="S281" s="14"/>
      <c r="T281" s="14"/>
      <c r="U281" s="14"/>
      <c r="W281" s="13"/>
      <c r="X281" s="13"/>
      <c r="Y281" s="13"/>
      <c r="Z281" s="13"/>
      <c r="AA281" s="13"/>
      <c r="AB281" s="13"/>
      <c r="AC281" s="13"/>
      <c r="AD281" s="13"/>
      <c r="AE281" s="13"/>
      <c r="AF281" s="2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1"/>
    </row>
    <row r="282" spans="1:43" x14ac:dyDescent="0.25">
      <c r="A282" s="8"/>
      <c r="M282" s="27"/>
      <c r="N282" s="14"/>
      <c r="O282" s="14"/>
      <c r="P282" s="14"/>
      <c r="Q282" s="14"/>
      <c r="R282" s="14"/>
      <c r="S282" s="14"/>
      <c r="T282" s="14"/>
      <c r="U282" s="14"/>
      <c r="W282" s="13"/>
      <c r="X282" s="13"/>
      <c r="Y282" s="13"/>
      <c r="Z282" s="13"/>
      <c r="AA282" s="13"/>
      <c r="AB282" s="13"/>
      <c r="AC282" s="13"/>
      <c r="AD282" s="13"/>
      <c r="AE282" s="13"/>
      <c r="AF282" s="2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1"/>
    </row>
    <row r="283" spans="1:43" x14ac:dyDescent="0.25">
      <c r="A283" s="8"/>
      <c r="M283" s="27"/>
      <c r="N283" s="14"/>
      <c r="O283" s="14"/>
      <c r="P283" s="14"/>
      <c r="Q283" s="14"/>
      <c r="R283" s="14"/>
      <c r="S283" s="14"/>
      <c r="T283" s="14"/>
      <c r="U283" s="14"/>
      <c r="W283" s="13"/>
      <c r="X283" s="13"/>
      <c r="Y283" s="13"/>
      <c r="Z283" s="13"/>
      <c r="AA283" s="13"/>
      <c r="AB283" s="13"/>
      <c r="AC283" s="13"/>
      <c r="AD283" s="13"/>
      <c r="AE283" s="13"/>
      <c r="AF283" s="2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1"/>
    </row>
    <row r="284" spans="1:43" x14ac:dyDescent="0.25">
      <c r="A284" s="8"/>
      <c r="M284" s="27"/>
      <c r="N284" s="14"/>
      <c r="O284" s="14"/>
      <c r="P284" s="14"/>
      <c r="Q284" s="14"/>
      <c r="R284" s="14"/>
      <c r="S284" s="14"/>
      <c r="T284" s="14"/>
      <c r="U284" s="14"/>
      <c r="W284" s="13"/>
      <c r="X284" s="13"/>
      <c r="Y284" s="13"/>
      <c r="Z284" s="13"/>
      <c r="AA284" s="13"/>
      <c r="AB284" s="13"/>
      <c r="AC284" s="13"/>
      <c r="AD284" s="13"/>
      <c r="AE284" s="13"/>
      <c r="AF284" s="2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1"/>
    </row>
    <row r="285" spans="1:43" x14ac:dyDescent="0.25">
      <c r="A285" s="8"/>
      <c r="M285" s="27"/>
      <c r="N285" s="14"/>
      <c r="O285" s="14"/>
      <c r="P285" s="14"/>
      <c r="Q285" s="14"/>
      <c r="R285" s="14"/>
      <c r="S285" s="14"/>
      <c r="T285" s="14"/>
      <c r="U285" s="14"/>
      <c r="W285" s="13"/>
      <c r="X285" s="13"/>
      <c r="Y285" s="13"/>
      <c r="Z285" s="13"/>
      <c r="AA285" s="13"/>
      <c r="AB285" s="13"/>
      <c r="AC285" s="13"/>
      <c r="AD285" s="13"/>
      <c r="AE285" s="13"/>
      <c r="AF285" s="2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1"/>
    </row>
    <row r="286" spans="1:43" x14ac:dyDescent="0.25">
      <c r="A286" s="8"/>
      <c r="M286" s="27"/>
      <c r="N286" s="14"/>
      <c r="O286" s="14"/>
      <c r="P286" s="14"/>
      <c r="Q286" s="14"/>
      <c r="R286" s="14"/>
      <c r="S286" s="14"/>
      <c r="T286" s="14"/>
      <c r="U286" s="14"/>
      <c r="W286" s="13"/>
      <c r="X286" s="13"/>
      <c r="Y286" s="13"/>
      <c r="Z286" s="13"/>
      <c r="AA286" s="13"/>
      <c r="AB286" s="13"/>
      <c r="AC286" s="13"/>
      <c r="AD286" s="13"/>
      <c r="AE286" s="13"/>
      <c r="AF286" s="2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1"/>
    </row>
    <row r="287" spans="1:43" x14ac:dyDescent="0.25">
      <c r="A287" s="8"/>
      <c r="M287" s="27"/>
      <c r="N287" s="14"/>
      <c r="O287" s="14"/>
      <c r="P287" s="14"/>
      <c r="Q287" s="14"/>
      <c r="R287" s="14"/>
      <c r="S287" s="14"/>
      <c r="T287" s="14"/>
      <c r="U287" s="14"/>
      <c r="W287" s="13"/>
      <c r="X287" s="13"/>
      <c r="Y287" s="13"/>
      <c r="Z287" s="13"/>
      <c r="AA287" s="13"/>
      <c r="AB287" s="13"/>
      <c r="AC287" s="13"/>
      <c r="AD287" s="13"/>
      <c r="AE287" s="13"/>
      <c r="AF287" s="2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1"/>
    </row>
    <row r="288" spans="1:43" x14ac:dyDescent="0.25">
      <c r="A288" s="8"/>
      <c r="M288" s="27"/>
      <c r="N288" s="14"/>
      <c r="O288" s="14"/>
      <c r="P288" s="14"/>
      <c r="Q288" s="14"/>
      <c r="R288" s="14"/>
      <c r="S288" s="14"/>
      <c r="T288" s="14"/>
      <c r="U288" s="14"/>
      <c r="W288" s="13"/>
      <c r="X288" s="13"/>
      <c r="Y288" s="13"/>
      <c r="Z288" s="13"/>
      <c r="AA288" s="13"/>
      <c r="AB288" s="13"/>
      <c r="AC288" s="13"/>
      <c r="AD288" s="13"/>
      <c r="AE288" s="13"/>
      <c r="AF288" s="2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1"/>
    </row>
    <row r="289" spans="1:43" x14ac:dyDescent="0.25">
      <c r="A289" s="8"/>
      <c r="M289" s="27"/>
      <c r="N289" s="14"/>
      <c r="O289" s="14"/>
      <c r="P289" s="14"/>
      <c r="Q289" s="14"/>
      <c r="R289" s="14"/>
      <c r="S289" s="14"/>
      <c r="T289" s="14"/>
      <c r="U289" s="14"/>
      <c r="W289" s="13"/>
      <c r="X289" s="13"/>
      <c r="Y289" s="13"/>
      <c r="Z289" s="13"/>
      <c r="AA289" s="13"/>
      <c r="AB289" s="13"/>
      <c r="AC289" s="13"/>
      <c r="AD289" s="13"/>
      <c r="AE289" s="13"/>
      <c r="AF289" s="2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1"/>
    </row>
    <row r="290" spans="1:43" x14ac:dyDescent="0.25">
      <c r="A290" s="8"/>
      <c r="M290" s="27"/>
      <c r="N290" s="14"/>
      <c r="O290" s="14"/>
      <c r="P290" s="14"/>
      <c r="Q290" s="14"/>
      <c r="R290" s="14"/>
      <c r="S290" s="14"/>
      <c r="T290" s="14"/>
      <c r="U290" s="14"/>
      <c r="W290" s="13"/>
      <c r="X290" s="13"/>
      <c r="Y290" s="13"/>
      <c r="Z290" s="13"/>
      <c r="AA290" s="13"/>
      <c r="AB290" s="13"/>
      <c r="AC290" s="13"/>
      <c r="AD290" s="13"/>
      <c r="AE290" s="13"/>
      <c r="AF290" s="2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1"/>
    </row>
    <row r="291" spans="1:43" x14ac:dyDescent="0.25">
      <c r="A291" s="8"/>
      <c r="M291" s="27"/>
      <c r="N291" s="14"/>
      <c r="O291" s="14"/>
      <c r="P291" s="14"/>
      <c r="Q291" s="14"/>
      <c r="R291" s="14"/>
      <c r="S291" s="14"/>
      <c r="T291" s="14"/>
      <c r="U291" s="14"/>
      <c r="W291" s="13"/>
      <c r="X291" s="13"/>
      <c r="Y291" s="13"/>
      <c r="Z291" s="13"/>
      <c r="AA291" s="13"/>
      <c r="AB291" s="13"/>
      <c r="AC291" s="13"/>
      <c r="AD291" s="13"/>
      <c r="AE291" s="13"/>
      <c r="AF291" s="2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1"/>
    </row>
    <row r="292" spans="1:43" x14ac:dyDescent="0.25">
      <c r="A292" s="8"/>
      <c r="M292" s="27"/>
      <c r="N292" s="14"/>
      <c r="O292" s="14"/>
      <c r="P292" s="14"/>
      <c r="Q292" s="14"/>
      <c r="R292" s="14"/>
      <c r="S292" s="14"/>
      <c r="T292" s="14"/>
      <c r="U292" s="14"/>
      <c r="W292" s="13"/>
      <c r="X292" s="13"/>
      <c r="Y292" s="13"/>
      <c r="Z292" s="13"/>
      <c r="AA292" s="13"/>
      <c r="AB292" s="13"/>
      <c r="AC292" s="13"/>
      <c r="AD292" s="13"/>
      <c r="AE292" s="13"/>
      <c r="AF292" s="2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1"/>
    </row>
    <row r="293" spans="1:43" x14ac:dyDescent="0.25">
      <c r="A293" s="8"/>
      <c r="M293" s="27"/>
      <c r="N293" s="14"/>
      <c r="O293" s="14"/>
      <c r="P293" s="14"/>
      <c r="Q293" s="14"/>
      <c r="R293" s="14"/>
      <c r="S293" s="14"/>
      <c r="T293" s="14"/>
      <c r="U293" s="14"/>
      <c r="W293" s="13"/>
      <c r="X293" s="13"/>
      <c r="Y293" s="13"/>
      <c r="Z293" s="13"/>
      <c r="AA293" s="13"/>
      <c r="AB293" s="13"/>
      <c r="AC293" s="13"/>
      <c r="AD293" s="13"/>
      <c r="AE293" s="13"/>
      <c r="AF293" s="2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1"/>
    </row>
    <row r="294" spans="1:43" x14ac:dyDescent="0.25">
      <c r="A294" s="8"/>
      <c r="M294" s="27"/>
      <c r="N294" s="14"/>
      <c r="O294" s="14"/>
      <c r="P294" s="14"/>
      <c r="Q294" s="14"/>
      <c r="R294" s="14"/>
      <c r="S294" s="14"/>
      <c r="T294" s="14"/>
      <c r="U294" s="14"/>
      <c r="W294" s="13"/>
      <c r="X294" s="13"/>
      <c r="Y294" s="13"/>
      <c r="Z294" s="13"/>
      <c r="AA294" s="13"/>
      <c r="AB294" s="13"/>
      <c r="AC294" s="13"/>
      <c r="AD294" s="13"/>
      <c r="AE294" s="13"/>
      <c r="AF294" s="2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1"/>
    </row>
    <row r="295" spans="1:43" x14ac:dyDescent="0.25">
      <c r="A295" s="8"/>
      <c r="M295" s="27"/>
      <c r="N295" s="14"/>
      <c r="O295" s="14"/>
      <c r="P295" s="14"/>
      <c r="Q295" s="14"/>
      <c r="R295" s="14"/>
      <c r="S295" s="14"/>
      <c r="T295" s="14"/>
      <c r="U295" s="14"/>
      <c r="W295" s="13"/>
      <c r="X295" s="13"/>
      <c r="Y295" s="13"/>
      <c r="Z295" s="13"/>
      <c r="AA295" s="13"/>
      <c r="AB295" s="13"/>
      <c r="AC295" s="13"/>
      <c r="AD295" s="13"/>
      <c r="AE295" s="13"/>
      <c r="AF295" s="2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1"/>
    </row>
    <row r="296" spans="1:43" x14ac:dyDescent="0.25">
      <c r="A296" s="8"/>
      <c r="M296" s="27"/>
      <c r="N296" s="14"/>
      <c r="O296" s="14"/>
      <c r="P296" s="14"/>
      <c r="Q296" s="14"/>
      <c r="R296" s="14"/>
      <c r="S296" s="14"/>
      <c r="T296" s="14"/>
      <c r="U296" s="14"/>
      <c r="W296" s="13"/>
      <c r="X296" s="13"/>
      <c r="Y296" s="13"/>
      <c r="Z296" s="13"/>
      <c r="AA296" s="13"/>
      <c r="AB296" s="13"/>
      <c r="AC296" s="13"/>
      <c r="AD296" s="13"/>
      <c r="AE296" s="13"/>
      <c r="AF296" s="2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1"/>
    </row>
    <row r="297" spans="1:43" x14ac:dyDescent="0.25">
      <c r="A297" s="8"/>
      <c r="M297" s="27"/>
      <c r="N297" s="14"/>
      <c r="O297" s="14"/>
      <c r="P297" s="14"/>
      <c r="Q297" s="14"/>
      <c r="R297" s="14"/>
      <c r="S297" s="14"/>
      <c r="T297" s="14"/>
      <c r="U297" s="14"/>
      <c r="W297" s="13"/>
      <c r="X297" s="13"/>
      <c r="Y297" s="13"/>
      <c r="Z297" s="13"/>
      <c r="AA297" s="13"/>
      <c r="AB297" s="13"/>
      <c r="AC297" s="13"/>
      <c r="AD297" s="13"/>
      <c r="AE297" s="13"/>
      <c r="AF297" s="2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1"/>
    </row>
    <row r="298" spans="1:43" x14ac:dyDescent="0.25">
      <c r="A298" s="8"/>
      <c r="M298" s="27"/>
      <c r="N298" s="14"/>
      <c r="O298" s="14"/>
      <c r="P298" s="14"/>
      <c r="Q298" s="14"/>
      <c r="R298" s="14"/>
      <c r="S298" s="14"/>
      <c r="T298" s="14"/>
      <c r="U298" s="14"/>
      <c r="W298" s="13"/>
      <c r="X298" s="13"/>
      <c r="Y298" s="13"/>
      <c r="Z298" s="13"/>
      <c r="AA298" s="13"/>
      <c r="AB298" s="13"/>
      <c r="AC298" s="13"/>
      <c r="AD298" s="13"/>
      <c r="AE298" s="13"/>
      <c r="AF298" s="2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1"/>
    </row>
    <row r="299" spans="1:43" x14ac:dyDescent="0.25">
      <c r="A299" s="8"/>
      <c r="M299" s="27"/>
      <c r="N299" s="14"/>
      <c r="O299" s="14"/>
      <c r="P299" s="14"/>
      <c r="Q299" s="14"/>
      <c r="R299" s="14"/>
      <c r="S299" s="14"/>
      <c r="T299" s="14"/>
      <c r="U299" s="14"/>
      <c r="W299" s="13"/>
      <c r="X299" s="13"/>
      <c r="Y299" s="13"/>
      <c r="Z299" s="13"/>
      <c r="AA299" s="13"/>
      <c r="AB299" s="13"/>
      <c r="AC299" s="13"/>
      <c r="AD299" s="13"/>
      <c r="AE299" s="13"/>
      <c r="AF299" s="2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1"/>
    </row>
    <row r="300" spans="1:43" x14ac:dyDescent="0.25">
      <c r="A300" s="8"/>
      <c r="M300" s="27"/>
      <c r="N300" s="14"/>
      <c r="O300" s="14"/>
      <c r="P300" s="14"/>
      <c r="Q300" s="14"/>
      <c r="R300" s="14"/>
      <c r="S300" s="14"/>
      <c r="T300" s="14"/>
      <c r="U300" s="14"/>
      <c r="W300" s="13"/>
      <c r="X300" s="13"/>
      <c r="Y300" s="13"/>
      <c r="Z300" s="13"/>
      <c r="AA300" s="13"/>
      <c r="AB300" s="13"/>
      <c r="AC300" s="13"/>
      <c r="AD300" s="13"/>
      <c r="AE300" s="13"/>
      <c r="AF300" s="2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1"/>
    </row>
    <row r="301" spans="1:43" x14ac:dyDescent="0.25">
      <c r="A301" s="8"/>
      <c r="M301" s="27"/>
      <c r="N301" s="14"/>
      <c r="O301" s="14"/>
      <c r="P301" s="14"/>
      <c r="Q301" s="14"/>
      <c r="R301" s="14"/>
      <c r="S301" s="14"/>
      <c r="T301" s="14"/>
      <c r="U301" s="14"/>
      <c r="W301" s="13"/>
      <c r="X301" s="13"/>
      <c r="Y301" s="13"/>
      <c r="Z301" s="13"/>
      <c r="AA301" s="13"/>
      <c r="AB301" s="13"/>
      <c r="AC301" s="13"/>
      <c r="AD301" s="13"/>
      <c r="AE301" s="13"/>
      <c r="AF301" s="2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1"/>
    </row>
    <row r="302" spans="1:43" x14ac:dyDescent="0.25">
      <c r="A302" s="8"/>
      <c r="M302" s="27"/>
      <c r="N302" s="14"/>
      <c r="O302" s="14"/>
      <c r="P302" s="14"/>
      <c r="Q302" s="14"/>
      <c r="R302" s="14"/>
      <c r="S302" s="14"/>
      <c r="T302" s="14"/>
      <c r="U302" s="14"/>
      <c r="W302" s="13"/>
      <c r="X302" s="13"/>
      <c r="Y302" s="13"/>
      <c r="Z302" s="13"/>
      <c r="AA302" s="13"/>
      <c r="AB302" s="13"/>
      <c r="AC302" s="13"/>
      <c r="AD302" s="13"/>
      <c r="AE302" s="13"/>
      <c r="AF302" s="2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1"/>
    </row>
    <row r="303" spans="1:43" x14ac:dyDescent="0.25">
      <c r="A303" s="8"/>
      <c r="M303" s="27"/>
      <c r="N303" s="14"/>
      <c r="O303" s="14"/>
      <c r="P303" s="14"/>
      <c r="Q303" s="14"/>
      <c r="R303" s="14"/>
      <c r="S303" s="14"/>
      <c r="T303" s="14"/>
      <c r="U303" s="14"/>
      <c r="W303" s="13"/>
      <c r="X303" s="13"/>
      <c r="Y303" s="13"/>
      <c r="Z303" s="13"/>
      <c r="AA303" s="13"/>
      <c r="AB303" s="13"/>
      <c r="AC303" s="13"/>
      <c r="AD303" s="13"/>
      <c r="AE303" s="13"/>
      <c r="AF303" s="2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1"/>
    </row>
    <row r="304" spans="1:43" x14ac:dyDescent="0.25">
      <c r="A304" s="8"/>
      <c r="M304" s="27"/>
      <c r="N304" s="14"/>
      <c r="O304" s="14"/>
      <c r="P304" s="14"/>
      <c r="Q304" s="14"/>
      <c r="R304" s="14"/>
      <c r="S304" s="14"/>
      <c r="T304" s="14"/>
      <c r="U304" s="14"/>
      <c r="W304" s="13"/>
      <c r="X304" s="13"/>
      <c r="Y304" s="13"/>
      <c r="Z304" s="13"/>
      <c r="AA304" s="13"/>
      <c r="AB304" s="13"/>
      <c r="AC304" s="13"/>
      <c r="AD304" s="13"/>
      <c r="AE304" s="13"/>
      <c r="AF304" s="2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1"/>
    </row>
    <row r="305" spans="1:43" x14ac:dyDescent="0.25">
      <c r="A305" s="8"/>
      <c r="M305" s="27"/>
      <c r="N305" s="14"/>
      <c r="O305" s="14"/>
      <c r="P305" s="14"/>
      <c r="Q305" s="14"/>
      <c r="R305" s="14"/>
      <c r="S305" s="14"/>
      <c r="T305" s="14"/>
      <c r="U305" s="14"/>
      <c r="W305" s="13"/>
      <c r="X305" s="13"/>
      <c r="Y305" s="13"/>
      <c r="Z305" s="13"/>
      <c r="AA305" s="13"/>
      <c r="AB305" s="13"/>
      <c r="AC305" s="13"/>
      <c r="AD305" s="13"/>
      <c r="AE305" s="13"/>
      <c r="AF305" s="2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1"/>
    </row>
    <row r="306" spans="1:43" x14ac:dyDescent="0.25">
      <c r="A306" s="8"/>
      <c r="M306" s="27"/>
      <c r="N306" s="14"/>
      <c r="O306" s="14"/>
      <c r="P306" s="14"/>
      <c r="Q306" s="14"/>
      <c r="R306" s="14"/>
      <c r="S306" s="14"/>
      <c r="T306" s="14"/>
      <c r="U306" s="14"/>
      <c r="W306" s="13"/>
      <c r="X306" s="13"/>
      <c r="Y306" s="13"/>
      <c r="Z306" s="13"/>
      <c r="AA306" s="13"/>
      <c r="AB306" s="13"/>
      <c r="AC306" s="13"/>
      <c r="AD306" s="13"/>
      <c r="AE306" s="13"/>
      <c r="AF306" s="2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1"/>
    </row>
    <row r="307" spans="1:43" x14ac:dyDescent="0.25">
      <c r="A307" s="8"/>
      <c r="M307" s="27"/>
      <c r="N307" s="14"/>
      <c r="O307" s="14"/>
      <c r="P307" s="14"/>
      <c r="Q307" s="14"/>
      <c r="R307" s="14"/>
      <c r="S307" s="14"/>
      <c r="T307" s="14"/>
      <c r="U307" s="14"/>
      <c r="W307" s="13"/>
      <c r="X307" s="13"/>
      <c r="Y307" s="13"/>
      <c r="Z307" s="13"/>
      <c r="AA307" s="13"/>
      <c r="AB307" s="13"/>
      <c r="AC307" s="13"/>
      <c r="AD307" s="13"/>
      <c r="AE307" s="13"/>
      <c r="AF307" s="2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1"/>
    </row>
    <row r="308" spans="1:43" x14ac:dyDescent="0.25">
      <c r="A308" s="8"/>
      <c r="M308" s="27"/>
      <c r="N308" s="14"/>
      <c r="O308" s="14"/>
      <c r="P308" s="14"/>
      <c r="Q308" s="14"/>
      <c r="R308" s="14"/>
      <c r="S308" s="14"/>
      <c r="T308" s="14"/>
      <c r="U308" s="14"/>
      <c r="W308" s="13"/>
      <c r="X308" s="13"/>
      <c r="Y308" s="13"/>
      <c r="Z308" s="13"/>
      <c r="AA308" s="13"/>
      <c r="AB308" s="13"/>
      <c r="AC308" s="13"/>
      <c r="AD308" s="13"/>
      <c r="AE308" s="13"/>
      <c r="AF308" s="2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1"/>
    </row>
    <row r="309" spans="1:43" x14ac:dyDescent="0.25">
      <c r="A309" s="8"/>
      <c r="M309" s="27"/>
      <c r="N309" s="14"/>
      <c r="O309" s="14"/>
      <c r="P309" s="14"/>
      <c r="Q309" s="14"/>
      <c r="R309" s="14"/>
      <c r="S309" s="14"/>
      <c r="T309" s="14"/>
      <c r="U309" s="14"/>
      <c r="W309" s="13"/>
      <c r="X309" s="13"/>
      <c r="Y309" s="13"/>
      <c r="Z309" s="13"/>
      <c r="AA309" s="13"/>
      <c r="AB309" s="13"/>
      <c r="AC309" s="13"/>
      <c r="AD309" s="13"/>
      <c r="AE309" s="13"/>
      <c r="AF309" s="2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1"/>
    </row>
    <row r="310" spans="1:43" x14ac:dyDescent="0.25">
      <c r="A310" s="8"/>
      <c r="M310" s="27"/>
      <c r="N310" s="14"/>
      <c r="O310" s="14"/>
      <c r="P310" s="14"/>
      <c r="Q310" s="14"/>
      <c r="R310" s="14"/>
      <c r="S310" s="14"/>
      <c r="T310" s="14"/>
      <c r="U310" s="14"/>
      <c r="W310" s="13"/>
      <c r="X310" s="13"/>
      <c r="Y310" s="13"/>
      <c r="Z310" s="13"/>
      <c r="AA310" s="13"/>
      <c r="AB310" s="13"/>
      <c r="AC310" s="13"/>
      <c r="AD310" s="13"/>
      <c r="AE310" s="13"/>
      <c r="AF310" s="2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1"/>
    </row>
    <row r="311" spans="1:43" x14ac:dyDescent="0.25">
      <c r="A311" s="8"/>
      <c r="M311" s="27"/>
      <c r="N311" s="14"/>
      <c r="O311" s="14"/>
      <c r="P311" s="14"/>
      <c r="Q311" s="14"/>
      <c r="R311" s="14"/>
      <c r="S311" s="14"/>
      <c r="T311" s="14"/>
      <c r="U311" s="14"/>
      <c r="W311" s="13"/>
      <c r="X311" s="13"/>
      <c r="Y311" s="13"/>
      <c r="Z311" s="13"/>
      <c r="AA311" s="13"/>
      <c r="AB311" s="13"/>
      <c r="AC311" s="13"/>
      <c r="AD311" s="13"/>
      <c r="AE311" s="13"/>
      <c r="AF311" s="2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1"/>
    </row>
    <row r="312" spans="1:43" x14ac:dyDescent="0.25">
      <c r="A312" s="8"/>
      <c r="M312" s="27"/>
      <c r="N312" s="14"/>
      <c r="O312" s="14"/>
      <c r="P312" s="14"/>
      <c r="Q312" s="14"/>
      <c r="R312" s="14"/>
      <c r="S312" s="14"/>
      <c r="T312" s="14"/>
      <c r="U312" s="14"/>
      <c r="W312" s="13"/>
      <c r="X312" s="13"/>
      <c r="Y312" s="13"/>
      <c r="Z312" s="13"/>
      <c r="AA312" s="13"/>
      <c r="AB312" s="13"/>
      <c r="AC312" s="13"/>
      <c r="AD312" s="13"/>
      <c r="AE312" s="13"/>
      <c r="AF312" s="2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1"/>
    </row>
    <row r="313" spans="1:43" x14ac:dyDescent="0.25">
      <c r="A313" s="8"/>
      <c r="M313" s="27"/>
      <c r="N313" s="14"/>
      <c r="O313" s="14"/>
      <c r="P313" s="14"/>
      <c r="Q313" s="14"/>
      <c r="R313" s="14"/>
      <c r="S313" s="14"/>
      <c r="T313" s="14"/>
      <c r="U313" s="14"/>
      <c r="W313" s="13"/>
      <c r="X313" s="13"/>
      <c r="Y313" s="13"/>
      <c r="Z313" s="13"/>
      <c r="AA313" s="13"/>
      <c r="AB313" s="13"/>
      <c r="AC313" s="13"/>
      <c r="AD313" s="13"/>
      <c r="AE313" s="13"/>
      <c r="AF313" s="2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1"/>
    </row>
    <row r="314" spans="1:43" x14ac:dyDescent="0.25">
      <c r="A314" s="8"/>
      <c r="M314" s="27"/>
      <c r="N314" s="14"/>
      <c r="O314" s="14"/>
      <c r="P314" s="14"/>
      <c r="Q314" s="14"/>
      <c r="R314" s="14"/>
      <c r="S314" s="14"/>
      <c r="T314" s="14"/>
      <c r="U314" s="14"/>
      <c r="W314" s="13"/>
      <c r="X314" s="13"/>
      <c r="Y314" s="13"/>
      <c r="Z314" s="13"/>
      <c r="AA314" s="13"/>
      <c r="AB314" s="13"/>
      <c r="AC314" s="13"/>
      <c r="AD314" s="13"/>
      <c r="AE314" s="13"/>
      <c r="AF314" s="2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1"/>
    </row>
    <row r="315" spans="1:43" x14ac:dyDescent="0.25">
      <c r="A315" s="8"/>
      <c r="M315" s="27"/>
      <c r="N315" s="14"/>
      <c r="O315" s="14"/>
      <c r="P315" s="14"/>
      <c r="Q315" s="14"/>
      <c r="R315" s="14"/>
      <c r="S315" s="14"/>
      <c r="T315" s="14"/>
      <c r="U315" s="14"/>
      <c r="W315" s="13"/>
      <c r="X315" s="13"/>
      <c r="Y315" s="13"/>
      <c r="Z315" s="13"/>
      <c r="AA315" s="13"/>
      <c r="AB315" s="13"/>
      <c r="AC315" s="13"/>
      <c r="AD315" s="13"/>
      <c r="AE315" s="13"/>
      <c r="AF315" s="2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1"/>
    </row>
    <row r="316" spans="1:43" x14ac:dyDescent="0.25">
      <c r="A316" s="8"/>
      <c r="M316" s="27"/>
      <c r="N316" s="14"/>
      <c r="O316" s="14"/>
      <c r="P316" s="14"/>
      <c r="Q316" s="14"/>
      <c r="R316" s="14"/>
      <c r="S316" s="14"/>
      <c r="T316" s="14"/>
      <c r="U316" s="14"/>
      <c r="W316" s="13"/>
      <c r="X316" s="13"/>
      <c r="Y316" s="13"/>
      <c r="Z316" s="13"/>
      <c r="AA316" s="13"/>
      <c r="AB316" s="13"/>
      <c r="AC316" s="13"/>
      <c r="AD316" s="13"/>
      <c r="AE316" s="13"/>
      <c r="AF316" s="2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1"/>
    </row>
    <row r="317" spans="1:43" x14ac:dyDescent="0.25">
      <c r="A317" s="8"/>
      <c r="M317" s="27"/>
      <c r="N317" s="14"/>
      <c r="O317" s="14"/>
      <c r="P317" s="14"/>
      <c r="Q317" s="14"/>
      <c r="R317" s="14"/>
      <c r="S317" s="14"/>
      <c r="T317" s="14"/>
      <c r="U317" s="14"/>
      <c r="W317" s="13"/>
      <c r="X317" s="13"/>
      <c r="Y317" s="13"/>
      <c r="Z317" s="13"/>
      <c r="AA317" s="13"/>
      <c r="AB317" s="13"/>
      <c r="AC317" s="13"/>
      <c r="AD317" s="13"/>
      <c r="AE317" s="13"/>
      <c r="AF317" s="2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1"/>
    </row>
    <row r="318" spans="1:43" x14ac:dyDescent="0.25">
      <c r="A318" s="8"/>
      <c r="M318" s="27"/>
      <c r="N318" s="14"/>
      <c r="O318" s="14"/>
      <c r="P318" s="14"/>
      <c r="Q318" s="14"/>
      <c r="R318" s="14"/>
      <c r="S318" s="14"/>
      <c r="T318" s="14"/>
      <c r="U318" s="14"/>
      <c r="W318" s="13"/>
      <c r="X318" s="13"/>
      <c r="Y318" s="13"/>
      <c r="Z318" s="13"/>
      <c r="AA318" s="13"/>
      <c r="AB318" s="13"/>
      <c r="AC318" s="13"/>
      <c r="AD318" s="13"/>
      <c r="AE318" s="13"/>
      <c r="AF318" s="2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1"/>
    </row>
    <row r="319" spans="1:43" x14ac:dyDescent="0.25">
      <c r="A319" s="8"/>
      <c r="M319" s="27"/>
      <c r="N319" s="14"/>
      <c r="O319" s="14"/>
      <c r="P319" s="14"/>
      <c r="Q319" s="14"/>
      <c r="R319" s="14"/>
      <c r="S319" s="14"/>
      <c r="T319" s="14"/>
      <c r="U319" s="14"/>
      <c r="W319" s="13"/>
      <c r="X319" s="13"/>
      <c r="Y319" s="13"/>
      <c r="Z319" s="13"/>
      <c r="AA319" s="13"/>
      <c r="AB319" s="13"/>
      <c r="AC319" s="13"/>
      <c r="AD319" s="13"/>
      <c r="AE319" s="13"/>
      <c r="AF319" s="2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1"/>
    </row>
    <row r="320" spans="1:43" x14ac:dyDescent="0.25">
      <c r="A320" s="8"/>
      <c r="M320" s="27"/>
      <c r="N320" s="14"/>
      <c r="O320" s="14"/>
      <c r="P320" s="14"/>
      <c r="Q320" s="14"/>
      <c r="R320" s="14"/>
      <c r="S320" s="14"/>
      <c r="T320" s="14"/>
      <c r="U320" s="14"/>
      <c r="W320" s="13"/>
      <c r="X320" s="13"/>
      <c r="Y320" s="13"/>
      <c r="Z320" s="13"/>
      <c r="AA320" s="13"/>
      <c r="AB320" s="13"/>
      <c r="AC320" s="13"/>
      <c r="AD320" s="13"/>
      <c r="AE320" s="13"/>
      <c r="AF320" s="2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1"/>
    </row>
    <row r="321" spans="1:43" x14ac:dyDescent="0.25">
      <c r="A321" s="8"/>
      <c r="M321" s="27"/>
      <c r="N321" s="14"/>
      <c r="O321" s="14"/>
      <c r="P321" s="14"/>
      <c r="Q321" s="14"/>
      <c r="R321" s="14"/>
      <c r="S321" s="14"/>
      <c r="T321" s="14"/>
      <c r="U321" s="14"/>
      <c r="W321" s="13"/>
      <c r="X321" s="13"/>
      <c r="Y321" s="13"/>
      <c r="Z321" s="13"/>
      <c r="AA321" s="13"/>
      <c r="AB321" s="13"/>
      <c r="AC321" s="13"/>
      <c r="AD321" s="13"/>
      <c r="AE321" s="13"/>
      <c r="AF321" s="2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1"/>
    </row>
    <row r="322" spans="1:43" x14ac:dyDescent="0.25">
      <c r="A322" s="8"/>
      <c r="M322" s="27"/>
      <c r="N322" s="14"/>
      <c r="O322" s="14"/>
      <c r="P322" s="14"/>
      <c r="Q322" s="14"/>
      <c r="R322" s="14"/>
      <c r="S322" s="14"/>
      <c r="T322" s="14"/>
      <c r="U322" s="14"/>
      <c r="W322" s="13"/>
      <c r="X322" s="13"/>
      <c r="Y322" s="13"/>
      <c r="Z322" s="13"/>
      <c r="AA322" s="13"/>
      <c r="AB322" s="13"/>
      <c r="AC322" s="13"/>
      <c r="AD322" s="13"/>
      <c r="AE322" s="13"/>
      <c r="AF322" s="2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1"/>
    </row>
    <row r="323" spans="1:43" x14ac:dyDescent="0.25">
      <c r="A323" s="8"/>
      <c r="M323" s="27"/>
      <c r="N323" s="14"/>
      <c r="O323" s="14"/>
      <c r="P323" s="14"/>
      <c r="Q323" s="14"/>
      <c r="R323" s="14"/>
      <c r="S323" s="14"/>
      <c r="T323" s="14"/>
      <c r="U323" s="14"/>
      <c r="W323" s="13"/>
      <c r="X323" s="13"/>
      <c r="Y323" s="13"/>
      <c r="Z323" s="13"/>
      <c r="AA323" s="13"/>
      <c r="AB323" s="13"/>
      <c r="AC323" s="13"/>
      <c r="AD323" s="13"/>
      <c r="AE323" s="13"/>
      <c r="AF323" s="2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1"/>
    </row>
    <row r="324" spans="1:43" x14ac:dyDescent="0.25">
      <c r="A324" s="8"/>
      <c r="M324" s="27"/>
      <c r="N324" s="14"/>
      <c r="O324" s="14"/>
      <c r="P324" s="14"/>
      <c r="Q324" s="14"/>
      <c r="R324" s="14"/>
      <c r="S324" s="14"/>
      <c r="T324" s="14"/>
      <c r="U324" s="14"/>
      <c r="W324" s="13"/>
      <c r="X324" s="13"/>
      <c r="Y324" s="13"/>
      <c r="Z324" s="13"/>
      <c r="AA324" s="13"/>
      <c r="AB324" s="13"/>
      <c r="AC324" s="13"/>
      <c r="AD324" s="13"/>
      <c r="AE324" s="13"/>
      <c r="AF324" s="2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1"/>
    </row>
    <row r="325" spans="1:43" x14ac:dyDescent="0.25">
      <c r="A325" s="8"/>
      <c r="M325" s="27"/>
      <c r="N325" s="14"/>
      <c r="O325" s="14"/>
      <c r="P325" s="14"/>
      <c r="Q325" s="14"/>
      <c r="R325" s="14"/>
      <c r="S325" s="14"/>
      <c r="T325" s="14"/>
      <c r="U325" s="14"/>
      <c r="W325" s="13"/>
      <c r="X325" s="13"/>
      <c r="Y325" s="13"/>
      <c r="Z325" s="13"/>
      <c r="AA325" s="13"/>
      <c r="AB325" s="13"/>
      <c r="AC325" s="13"/>
      <c r="AD325" s="13"/>
      <c r="AE325" s="13"/>
      <c r="AF325" s="2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1"/>
    </row>
    <row r="326" spans="1:43" x14ac:dyDescent="0.25">
      <c r="A326" s="8"/>
      <c r="M326" s="27"/>
      <c r="N326" s="14"/>
      <c r="O326" s="14"/>
      <c r="P326" s="14"/>
      <c r="Q326" s="14"/>
      <c r="R326" s="14"/>
      <c r="S326" s="14"/>
      <c r="T326" s="14"/>
      <c r="U326" s="14"/>
      <c r="W326" s="13"/>
      <c r="X326" s="13"/>
      <c r="Y326" s="13"/>
      <c r="Z326" s="13"/>
      <c r="AA326" s="13"/>
      <c r="AB326" s="13"/>
      <c r="AC326" s="13"/>
      <c r="AD326" s="13"/>
      <c r="AE326" s="13"/>
      <c r="AF326" s="2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1"/>
    </row>
    <row r="327" spans="1:43" x14ac:dyDescent="0.25">
      <c r="A327" s="8"/>
      <c r="M327" s="27"/>
      <c r="N327" s="14"/>
      <c r="O327" s="14"/>
      <c r="P327" s="14"/>
      <c r="Q327" s="14"/>
      <c r="R327" s="14"/>
      <c r="S327" s="14"/>
      <c r="T327" s="14"/>
      <c r="U327" s="14"/>
      <c r="W327" s="13"/>
      <c r="X327" s="13"/>
      <c r="Y327" s="13"/>
      <c r="Z327" s="13"/>
      <c r="AA327" s="13"/>
      <c r="AB327" s="13"/>
      <c r="AC327" s="13"/>
      <c r="AD327" s="13"/>
      <c r="AE327" s="13"/>
      <c r="AF327" s="2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1"/>
    </row>
    <row r="328" spans="1:43" x14ac:dyDescent="0.25">
      <c r="A328" s="8"/>
      <c r="M328" s="27"/>
      <c r="N328" s="14"/>
      <c r="O328" s="14"/>
      <c r="P328" s="14"/>
      <c r="Q328" s="14"/>
      <c r="R328" s="14"/>
      <c r="S328" s="14"/>
      <c r="T328" s="14"/>
      <c r="U328" s="14"/>
      <c r="W328" s="13"/>
      <c r="X328" s="13"/>
      <c r="Y328" s="13"/>
      <c r="Z328" s="13"/>
      <c r="AA328" s="13"/>
      <c r="AB328" s="13"/>
      <c r="AC328" s="13"/>
      <c r="AD328" s="13"/>
      <c r="AE328" s="13"/>
      <c r="AF328" s="2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1"/>
    </row>
    <row r="329" spans="1:43" x14ac:dyDescent="0.25">
      <c r="A329" s="8"/>
      <c r="M329" s="27"/>
      <c r="N329" s="14"/>
      <c r="O329" s="14"/>
      <c r="P329" s="14"/>
      <c r="Q329" s="14"/>
      <c r="R329" s="14"/>
      <c r="S329" s="14"/>
      <c r="T329" s="14"/>
      <c r="U329" s="14"/>
      <c r="W329" s="13"/>
      <c r="X329" s="13"/>
      <c r="Y329" s="13"/>
      <c r="Z329" s="13"/>
      <c r="AA329" s="13"/>
      <c r="AB329" s="13"/>
      <c r="AC329" s="13"/>
      <c r="AD329" s="13"/>
      <c r="AE329" s="13"/>
      <c r="AF329" s="2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1"/>
    </row>
    <row r="330" spans="1:43" x14ac:dyDescent="0.25">
      <c r="A330" s="8"/>
      <c r="M330" s="27"/>
      <c r="N330" s="14"/>
      <c r="O330" s="14"/>
      <c r="P330" s="14"/>
      <c r="Q330" s="14"/>
      <c r="R330" s="14"/>
      <c r="S330" s="14"/>
      <c r="T330" s="14"/>
      <c r="U330" s="14"/>
      <c r="W330" s="13"/>
      <c r="X330" s="13"/>
      <c r="Y330" s="13"/>
      <c r="Z330" s="13"/>
      <c r="AA330" s="13"/>
      <c r="AB330" s="13"/>
      <c r="AC330" s="13"/>
      <c r="AD330" s="13"/>
      <c r="AE330" s="13"/>
      <c r="AF330" s="2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1"/>
    </row>
    <row r="331" spans="1:43" x14ac:dyDescent="0.25">
      <c r="A331" s="8"/>
      <c r="M331" s="27"/>
      <c r="N331" s="14"/>
      <c r="O331" s="14"/>
      <c r="P331" s="14"/>
      <c r="Q331" s="14"/>
      <c r="R331" s="14"/>
      <c r="S331" s="14"/>
      <c r="T331" s="14"/>
      <c r="U331" s="14"/>
      <c r="W331" s="13"/>
      <c r="X331" s="13"/>
      <c r="Y331" s="13"/>
      <c r="Z331" s="13"/>
      <c r="AA331" s="13"/>
      <c r="AB331" s="13"/>
      <c r="AC331" s="13"/>
      <c r="AD331" s="13"/>
      <c r="AE331" s="13"/>
      <c r="AF331" s="2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1"/>
    </row>
    <row r="332" spans="1:43" x14ac:dyDescent="0.25">
      <c r="A332" s="8"/>
      <c r="M332" s="27"/>
      <c r="N332" s="14"/>
      <c r="O332" s="14"/>
      <c r="P332" s="14"/>
      <c r="Q332" s="14"/>
      <c r="R332" s="14"/>
      <c r="S332" s="14"/>
      <c r="T332" s="14"/>
      <c r="U332" s="14"/>
      <c r="W332" s="13"/>
      <c r="X332" s="13"/>
      <c r="Y332" s="13"/>
      <c r="Z332" s="13"/>
      <c r="AA332" s="13"/>
      <c r="AB332" s="13"/>
      <c r="AC332" s="13"/>
      <c r="AD332" s="13"/>
      <c r="AE332" s="13"/>
      <c r="AF332" s="2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1"/>
    </row>
    <row r="333" spans="1:43" x14ac:dyDescent="0.25">
      <c r="A333" s="8"/>
      <c r="M333" s="27"/>
      <c r="N333" s="14"/>
      <c r="O333" s="14"/>
      <c r="P333" s="14"/>
      <c r="Q333" s="14"/>
      <c r="R333" s="14"/>
      <c r="S333" s="14"/>
      <c r="T333" s="14"/>
      <c r="U333" s="14"/>
      <c r="W333" s="13"/>
      <c r="X333" s="13"/>
      <c r="Y333" s="13"/>
      <c r="Z333" s="13"/>
      <c r="AA333" s="13"/>
      <c r="AB333" s="13"/>
      <c r="AC333" s="13"/>
      <c r="AD333" s="13"/>
      <c r="AE333" s="13"/>
      <c r="AF333" s="2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1"/>
    </row>
    <row r="334" spans="1:43" x14ac:dyDescent="0.25">
      <c r="A334" s="8"/>
      <c r="M334" s="27"/>
      <c r="N334" s="14"/>
      <c r="O334" s="14"/>
      <c r="P334" s="14"/>
      <c r="Q334" s="14"/>
      <c r="R334" s="14"/>
      <c r="S334" s="14"/>
      <c r="T334" s="14"/>
      <c r="U334" s="14"/>
      <c r="W334" s="13"/>
      <c r="X334" s="13"/>
      <c r="Y334" s="13"/>
      <c r="Z334" s="13"/>
      <c r="AA334" s="13"/>
      <c r="AB334" s="13"/>
      <c r="AC334" s="13"/>
      <c r="AD334" s="13"/>
      <c r="AE334" s="13"/>
      <c r="AF334" s="2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1"/>
    </row>
    <row r="335" spans="1:43" x14ac:dyDescent="0.25">
      <c r="A335" s="8"/>
      <c r="M335" s="27"/>
      <c r="N335" s="14"/>
      <c r="O335" s="14"/>
      <c r="P335" s="14"/>
      <c r="Q335" s="14"/>
      <c r="R335" s="14"/>
      <c r="S335" s="14"/>
      <c r="T335" s="14"/>
      <c r="U335" s="14"/>
      <c r="W335" s="13"/>
      <c r="X335" s="13"/>
      <c r="Y335" s="13"/>
      <c r="Z335" s="13"/>
      <c r="AA335" s="13"/>
      <c r="AB335" s="13"/>
      <c r="AC335" s="13"/>
      <c r="AD335" s="13"/>
      <c r="AE335" s="13"/>
      <c r="AF335" s="2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1"/>
    </row>
    <row r="336" spans="1:43" x14ac:dyDescent="0.25">
      <c r="A336" s="8"/>
      <c r="M336" s="27"/>
      <c r="N336" s="14"/>
      <c r="O336" s="14"/>
      <c r="P336" s="14"/>
      <c r="Q336" s="14"/>
      <c r="R336" s="14"/>
      <c r="S336" s="14"/>
      <c r="T336" s="14"/>
      <c r="U336" s="14"/>
      <c r="W336" s="13"/>
      <c r="X336" s="13"/>
      <c r="Y336" s="13"/>
      <c r="Z336" s="13"/>
      <c r="AA336" s="13"/>
      <c r="AB336" s="13"/>
      <c r="AC336" s="13"/>
      <c r="AD336" s="13"/>
      <c r="AE336" s="13"/>
      <c r="AF336" s="2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1"/>
    </row>
    <row r="337" spans="1:43" x14ac:dyDescent="0.25">
      <c r="A337" s="8"/>
      <c r="M337" s="27"/>
      <c r="N337" s="14"/>
      <c r="O337" s="14"/>
      <c r="P337" s="14"/>
      <c r="Q337" s="14"/>
      <c r="R337" s="14"/>
      <c r="S337" s="14"/>
      <c r="T337" s="14"/>
      <c r="U337" s="14"/>
      <c r="W337" s="13"/>
      <c r="X337" s="13"/>
      <c r="Y337" s="13"/>
      <c r="Z337" s="13"/>
      <c r="AA337" s="13"/>
      <c r="AB337" s="13"/>
      <c r="AC337" s="13"/>
      <c r="AD337" s="13"/>
      <c r="AE337" s="13"/>
      <c r="AF337" s="2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1"/>
    </row>
    <row r="338" spans="1:43" x14ac:dyDescent="0.25">
      <c r="A338" s="8"/>
      <c r="M338" s="27"/>
      <c r="N338" s="14"/>
      <c r="O338" s="14"/>
      <c r="P338" s="14"/>
      <c r="Q338" s="14"/>
      <c r="R338" s="14"/>
      <c r="S338" s="14"/>
      <c r="T338" s="14"/>
      <c r="U338" s="14"/>
      <c r="W338" s="13"/>
      <c r="X338" s="13"/>
      <c r="Y338" s="13"/>
      <c r="Z338" s="13"/>
      <c r="AA338" s="13"/>
      <c r="AB338" s="13"/>
      <c r="AC338" s="13"/>
      <c r="AD338" s="13"/>
      <c r="AE338" s="13"/>
      <c r="AF338" s="2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1"/>
    </row>
    <row r="339" spans="1:43" x14ac:dyDescent="0.25">
      <c r="A339" s="8"/>
      <c r="M339" s="27"/>
      <c r="N339" s="14"/>
      <c r="O339" s="14"/>
      <c r="P339" s="14"/>
      <c r="Q339" s="14"/>
      <c r="R339" s="14"/>
      <c r="S339" s="14"/>
      <c r="T339" s="14"/>
      <c r="U339" s="14"/>
      <c r="W339" s="13"/>
      <c r="X339" s="13"/>
      <c r="Y339" s="13"/>
      <c r="Z339" s="13"/>
      <c r="AA339" s="13"/>
      <c r="AB339" s="13"/>
      <c r="AC339" s="13"/>
      <c r="AD339" s="13"/>
      <c r="AE339" s="13"/>
      <c r="AF339" s="2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1"/>
    </row>
    <row r="340" spans="1:43" x14ac:dyDescent="0.25">
      <c r="A340" s="8"/>
      <c r="M340" s="27"/>
      <c r="N340" s="14"/>
      <c r="O340" s="14"/>
      <c r="P340" s="14"/>
      <c r="Q340" s="14"/>
      <c r="R340" s="14"/>
      <c r="S340" s="14"/>
      <c r="T340" s="14"/>
      <c r="U340" s="14"/>
      <c r="W340" s="13"/>
      <c r="X340" s="13"/>
      <c r="Y340" s="13"/>
      <c r="Z340" s="13"/>
      <c r="AA340" s="13"/>
      <c r="AB340" s="13"/>
      <c r="AC340" s="13"/>
      <c r="AD340" s="13"/>
      <c r="AE340" s="13"/>
      <c r="AF340" s="2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1"/>
    </row>
    <row r="341" spans="1:43" x14ac:dyDescent="0.25">
      <c r="A341" s="8"/>
      <c r="M341" s="27"/>
      <c r="N341" s="14"/>
      <c r="O341" s="14"/>
      <c r="P341" s="14"/>
      <c r="Q341" s="14"/>
      <c r="R341" s="14"/>
      <c r="S341" s="14"/>
      <c r="T341" s="14"/>
      <c r="U341" s="14"/>
      <c r="W341" s="13"/>
      <c r="X341" s="13"/>
      <c r="Y341" s="13"/>
      <c r="Z341" s="13"/>
      <c r="AA341" s="13"/>
      <c r="AB341" s="13"/>
      <c r="AC341" s="13"/>
      <c r="AD341" s="13"/>
      <c r="AE341" s="13"/>
      <c r="AF341" s="2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1"/>
    </row>
    <row r="342" spans="1:43" x14ac:dyDescent="0.25">
      <c r="A342" s="8"/>
      <c r="M342" s="27"/>
      <c r="N342" s="14"/>
      <c r="O342" s="14"/>
      <c r="P342" s="14"/>
      <c r="Q342" s="14"/>
      <c r="R342" s="14"/>
      <c r="S342" s="14"/>
      <c r="T342" s="14"/>
      <c r="U342" s="14"/>
      <c r="W342" s="13"/>
      <c r="X342" s="13"/>
      <c r="Y342" s="13"/>
      <c r="Z342" s="13"/>
      <c r="AA342" s="13"/>
      <c r="AB342" s="13"/>
      <c r="AC342" s="13"/>
      <c r="AD342" s="13"/>
      <c r="AE342" s="13"/>
      <c r="AF342" s="2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1"/>
    </row>
    <row r="343" spans="1:43" x14ac:dyDescent="0.25">
      <c r="A343" s="8"/>
      <c r="M343" s="27"/>
      <c r="N343" s="14"/>
      <c r="O343" s="14"/>
      <c r="P343" s="14"/>
      <c r="Q343" s="14"/>
      <c r="R343" s="14"/>
      <c r="S343" s="14"/>
      <c r="T343" s="14"/>
      <c r="U343" s="14"/>
      <c r="W343" s="13"/>
      <c r="X343" s="13"/>
      <c r="Y343" s="13"/>
      <c r="Z343" s="13"/>
      <c r="AA343" s="13"/>
      <c r="AB343" s="13"/>
      <c r="AC343" s="13"/>
      <c r="AD343" s="13"/>
      <c r="AE343" s="13"/>
      <c r="AF343" s="2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1"/>
    </row>
    <row r="344" spans="1:43" x14ac:dyDescent="0.25">
      <c r="A344" s="8"/>
      <c r="M344" s="27"/>
      <c r="N344" s="14"/>
      <c r="O344" s="14"/>
      <c r="P344" s="14"/>
      <c r="Q344" s="14"/>
      <c r="R344" s="14"/>
      <c r="S344" s="14"/>
      <c r="T344" s="14"/>
      <c r="U344" s="14"/>
      <c r="W344" s="13"/>
      <c r="X344" s="13"/>
      <c r="Y344" s="13"/>
      <c r="Z344" s="13"/>
      <c r="AA344" s="13"/>
      <c r="AB344" s="13"/>
      <c r="AC344" s="13"/>
      <c r="AD344" s="13"/>
      <c r="AE344" s="13"/>
      <c r="AF344" s="2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1"/>
    </row>
    <row r="345" spans="1:43" x14ac:dyDescent="0.25">
      <c r="A345" s="8"/>
      <c r="M345" s="27"/>
      <c r="N345" s="14"/>
      <c r="O345" s="14"/>
      <c r="P345" s="14"/>
      <c r="Q345" s="14"/>
      <c r="R345" s="14"/>
      <c r="S345" s="14"/>
      <c r="T345" s="14"/>
      <c r="U345" s="14"/>
      <c r="W345" s="13"/>
      <c r="X345" s="13"/>
      <c r="Y345" s="13"/>
      <c r="Z345" s="13"/>
      <c r="AA345" s="13"/>
      <c r="AB345" s="13"/>
      <c r="AC345" s="13"/>
      <c r="AD345" s="13"/>
      <c r="AE345" s="13"/>
      <c r="AF345" s="2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1"/>
    </row>
    <row r="346" spans="1:43" x14ac:dyDescent="0.25">
      <c r="A346" s="8"/>
      <c r="M346" s="27"/>
      <c r="N346" s="14"/>
      <c r="O346" s="14"/>
      <c r="P346" s="14"/>
      <c r="Q346" s="14"/>
      <c r="R346" s="14"/>
      <c r="S346" s="14"/>
      <c r="T346" s="14"/>
      <c r="U346" s="14"/>
      <c r="W346" s="13"/>
      <c r="X346" s="13"/>
      <c r="Y346" s="13"/>
      <c r="Z346" s="13"/>
      <c r="AA346" s="13"/>
      <c r="AB346" s="13"/>
      <c r="AC346" s="13"/>
      <c r="AD346" s="13"/>
      <c r="AE346" s="13"/>
      <c r="AF346" s="2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1"/>
    </row>
    <row r="347" spans="1:43" x14ac:dyDescent="0.25">
      <c r="A347" s="8"/>
      <c r="M347" s="27"/>
      <c r="N347" s="14"/>
      <c r="O347" s="14"/>
      <c r="P347" s="14"/>
      <c r="Q347" s="14"/>
      <c r="R347" s="14"/>
      <c r="S347" s="14"/>
      <c r="T347" s="14"/>
      <c r="U347" s="14"/>
      <c r="W347" s="13"/>
      <c r="X347" s="13"/>
      <c r="Y347" s="13"/>
      <c r="Z347" s="13"/>
      <c r="AA347" s="13"/>
      <c r="AB347" s="13"/>
      <c r="AC347" s="13"/>
      <c r="AD347" s="13"/>
      <c r="AE347" s="13"/>
      <c r="AF347" s="2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1"/>
    </row>
    <row r="348" spans="1:43" x14ac:dyDescent="0.25">
      <c r="A348" s="8"/>
      <c r="M348" s="27"/>
      <c r="N348" s="14"/>
      <c r="O348" s="14"/>
      <c r="P348" s="14"/>
      <c r="Q348" s="14"/>
      <c r="R348" s="14"/>
      <c r="S348" s="14"/>
      <c r="T348" s="14"/>
      <c r="U348" s="14"/>
      <c r="W348" s="13"/>
      <c r="X348" s="13"/>
      <c r="Y348" s="13"/>
      <c r="Z348" s="13"/>
      <c r="AA348" s="13"/>
      <c r="AB348" s="13"/>
      <c r="AC348" s="13"/>
      <c r="AD348" s="13"/>
      <c r="AE348" s="13"/>
      <c r="AF348" s="2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1"/>
    </row>
    <row r="349" spans="1:43" x14ac:dyDescent="0.25">
      <c r="A349" s="8"/>
      <c r="M349" s="27"/>
      <c r="N349" s="14"/>
      <c r="O349" s="14"/>
      <c r="P349" s="14"/>
      <c r="Q349" s="14"/>
      <c r="R349" s="14"/>
      <c r="S349" s="14"/>
      <c r="T349" s="14"/>
      <c r="U349" s="14"/>
      <c r="W349" s="13"/>
      <c r="X349" s="13"/>
      <c r="Y349" s="13"/>
      <c r="Z349" s="13"/>
      <c r="AA349" s="13"/>
      <c r="AB349" s="13"/>
      <c r="AC349" s="13"/>
      <c r="AD349" s="13"/>
      <c r="AE349" s="13"/>
      <c r="AF349" s="2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1"/>
    </row>
    <row r="350" spans="1:43" x14ac:dyDescent="0.25">
      <c r="A350" s="8"/>
      <c r="M350" s="27"/>
      <c r="N350" s="14"/>
      <c r="O350" s="14"/>
      <c r="P350" s="14"/>
      <c r="Q350" s="14"/>
      <c r="R350" s="14"/>
      <c r="S350" s="14"/>
      <c r="T350" s="14"/>
      <c r="U350" s="14"/>
      <c r="W350" s="13"/>
      <c r="X350" s="13"/>
      <c r="Y350" s="13"/>
      <c r="Z350" s="13"/>
      <c r="AA350" s="13"/>
      <c r="AB350" s="13"/>
      <c r="AC350" s="13"/>
      <c r="AD350" s="13"/>
      <c r="AE350" s="13"/>
      <c r="AF350" s="2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1"/>
    </row>
    <row r="351" spans="1:43" x14ac:dyDescent="0.25">
      <c r="A351" s="8"/>
      <c r="M351" s="27"/>
      <c r="N351" s="14"/>
      <c r="O351" s="14"/>
      <c r="P351" s="14"/>
      <c r="Q351" s="14"/>
      <c r="R351" s="14"/>
      <c r="S351" s="14"/>
      <c r="T351" s="14"/>
      <c r="U351" s="14"/>
      <c r="W351" s="13"/>
      <c r="X351" s="13"/>
      <c r="Y351" s="13"/>
      <c r="Z351" s="13"/>
      <c r="AA351" s="13"/>
      <c r="AB351" s="13"/>
      <c r="AC351" s="13"/>
      <c r="AD351" s="13"/>
      <c r="AE351" s="13"/>
      <c r="AF351" s="2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1"/>
    </row>
    <row r="352" spans="1:43" x14ac:dyDescent="0.25">
      <c r="A352" s="8"/>
      <c r="M352" s="27"/>
      <c r="N352" s="14"/>
      <c r="O352" s="14"/>
      <c r="P352" s="14"/>
      <c r="Q352" s="14"/>
      <c r="R352" s="14"/>
      <c r="S352" s="14"/>
      <c r="T352" s="14"/>
      <c r="U352" s="14"/>
      <c r="W352" s="13"/>
      <c r="X352" s="13"/>
      <c r="Y352" s="13"/>
      <c r="Z352" s="13"/>
      <c r="AA352" s="13"/>
      <c r="AB352" s="13"/>
      <c r="AC352" s="13"/>
      <c r="AD352" s="13"/>
      <c r="AE352" s="13"/>
      <c r="AF352" s="2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1"/>
    </row>
    <row r="353" spans="1:43" x14ac:dyDescent="0.25">
      <c r="A353" s="8"/>
      <c r="M353" s="27"/>
      <c r="N353" s="14"/>
      <c r="O353" s="14"/>
      <c r="P353" s="14"/>
      <c r="Q353" s="14"/>
      <c r="R353" s="14"/>
      <c r="S353" s="14"/>
      <c r="T353" s="14"/>
      <c r="U353" s="14"/>
      <c r="W353" s="13"/>
      <c r="X353" s="13"/>
      <c r="Y353" s="13"/>
      <c r="Z353" s="13"/>
      <c r="AA353" s="13"/>
      <c r="AB353" s="13"/>
      <c r="AC353" s="13"/>
      <c r="AD353" s="13"/>
      <c r="AE353" s="13"/>
      <c r="AF353" s="2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1"/>
    </row>
    <row r="354" spans="1:43" x14ac:dyDescent="0.25">
      <c r="A354" s="8"/>
      <c r="M354" s="27"/>
      <c r="N354" s="14"/>
      <c r="O354" s="14"/>
      <c r="P354" s="14"/>
      <c r="Q354" s="14"/>
      <c r="R354" s="14"/>
      <c r="S354" s="14"/>
      <c r="T354" s="14"/>
      <c r="U354" s="14"/>
      <c r="W354" s="13"/>
      <c r="X354" s="13"/>
      <c r="Y354" s="13"/>
      <c r="Z354" s="13"/>
      <c r="AA354" s="13"/>
      <c r="AB354" s="13"/>
      <c r="AC354" s="13"/>
      <c r="AD354" s="13"/>
      <c r="AE354" s="13"/>
      <c r="AF354" s="2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1"/>
    </row>
    <row r="355" spans="1:43" x14ac:dyDescent="0.25">
      <c r="A355" s="8"/>
      <c r="M355" s="27"/>
      <c r="N355" s="14"/>
      <c r="O355" s="14"/>
      <c r="P355" s="14"/>
      <c r="Q355" s="14"/>
      <c r="R355" s="14"/>
      <c r="S355" s="14"/>
      <c r="T355" s="14"/>
      <c r="U355" s="14"/>
      <c r="W355" s="13"/>
      <c r="X355" s="13"/>
      <c r="Y355" s="13"/>
      <c r="Z355" s="13"/>
      <c r="AA355" s="13"/>
      <c r="AB355" s="13"/>
      <c r="AC355" s="13"/>
      <c r="AD355" s="13"/>
      <c r="AE355" s="13"/>
      <c r="AF355" s="2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CC28-B794-426E-AAA1-EE8586B47A40}">
  <dimension ref="A1:U54"/>
  <sheetViews>
    <sheetView zoomScaleNormal="100" workbookViewId="0">
      <selection activeCell="G16" sqref="G16"/>
    </sheetView>
  </sheetViews>
  <sheetFormatPr baseColWidth="10" defaultColWidth="11.19921875" defaultRowHeight="14.4" x14ac:dyDescent="0.3"/>
  <cols>
    <col min="1" max="1" width="26.8984375" style="1" bestFit="1" customWidth="1"/>
    <col min="2" max="5" width="12.09765625" style="1" customWidth="1"/>
    <col min="6" max="8" width="13.19921875" style="5" customWidth="1"/>
    <col min="9" max="10" width="11.19921875" style="1"/>
    <col min="11" max="11" width="11.5" style="1" customWidth="1"/>
    <col min="12" max="12" width="12.69921875" style="1" customWidth="1"/>
    <col min="13" max="14" width="11.19921875" style="1"/>
    <col min="15" max="16" width="15.59765625" style="1" customWidth="1"/>
    <col min="17" max="18" width="11.19921875" style="1"/>
    <col min="19" max="19" width="10.8984375" style="1" customWidth="1"/>
    <col min="20" max="20" width="11.19921875" style="1"/>
    <col min="21" max="21" width="11.19921875" style="48"/>
    <col min="22" max="26" width="11.19921875" style="1"/>
    <col min="27" max="27" width="11.69921875" style="1" customWidth="1"/>
    <col min="28" max="16384" width="11.19921875" style="1"/>
  </cols>
  <sheetData>
    <row r="1" spans="1:21" x14ac:dyDescent="0.3">
      <c r="A1" s="2" t="s">
        <v>25</v>
      </c>
      <c r="B1" s="54" t="s">
        <v>26</v>
      </c>
    </row>
    <row r="2" spans="1:21" x14ac:dyDescent="0.3">
      <c r="A2" s="1" t="s">
        <v>22</v>
      </c>
      <c r="B2" s="55">
        <v>0.7</v>
      </c>
    </row>
    <row r="3" spans="1:21" x14ac:dyDescent="0.3">
      <c r="A3" s="52" t="s">
        <v>23</v>
      </c>
      <c r="B3" s="55">
        <v>0.6</v>
      </c>
    </row>
    <row r="4" spans="1:21" x14ac:dyDescent="0.3">
      <c r="A4" s="1" t="s">
        <v>24</v>
      </c>
      <c r="B4" s="55">
        <v>0.1</v>
      </c>
    </row>
    <row r="5" spans="1:21" x14ac:dyDescent="0.3">
      <c r="A5" s="1" t="s">
        <v>18</v>
      </c>
      <c r="B5" s="55">
        <v>0</v>
      </c>
    </row>
    <row r="8" spans="1:21" x14ac:dyDescent="0.3">
      <c r="A8" s="3" t="s">
        <v>3</v>
      </c>
      <c r="B8" s="60" t="s">
        <v>19</v>
      </c>
      <c r="C8" s="60" t="s">
        <v>20</v>
      </c>
      <c r="D8" s="60" t="s">
        <v>21</v>
      </c>
      <c r="E8" s="60" t="s">
        <v>27</v>
      </c>
      <c r="F8" s="1"/>
      <c r="G8" s="1"/>
      <c r="H8" s="1"/>
    </row>
    <row r="9" spans="1:21" x14ac:dyDescent="0.3">
      <c r="A9" s="24" t="s">
        <v>2</v>
      </c>
      <c r="B9" s="62">
        <v>0.03</v>
      </c>
      <c r="C9" s="61">
        <f>(1-$B$2)*SUM($B$9:$B$15)*B9/SUM($B$9:$B$12)</f>
        <v>1.8243243243243244E-2</v>
      </c>
      <c r="D9" s="61">
        <f>C9</f>
        <v>1.8243243243243244E-2</v>
      </c>
      <c r="E9" s="61">
        <f>D9</f>
        <v>1.8243243243243244E-2</v>
      </c>
      <c r="F9" s="1"/>
      <c r="G9" s="1"/>
      <c r="H9" s="1"/>
    </row>
    <row r="10" spans="1:21" ht="13.8" x14ac:dyDescent="0.25">
      <c r="A10" s="24" t="s">
        <v>4</v>
      </c>
      <c r="B10" s="62">
        <v>0.25</v>
      </c>
      <c r="C10" s="61">
        <f>(1-$B$2)*SUM($B$9:$B$15)*B10/SUM($B$9:$B$12)</f>
        <v>0.15202702702702703</v>
      </c>
      <c r="D10" s="61">
        <f>$B$4*SUM($C$10:$C$12)</f>
        <v>2.0675675675675676E-2</v>
      </c>
      <c r="E10" s="61">
        <f>D10</f>
        <v>2.0675675675675676E-2</v>
      </c>
      <c r="F10" s="1"/>
      <c r="G10" s="1"/>
      <c r="H10" s="1"/>
      <c r="U10" s="1"/>
    </row>
    <row r="11" spans="1:21" ht="13.8" x14ac:dyDescent="0.25">
      <c r="A11" s="24" t="s">
        <v>5</v>
      </c>
      <c r="B11" s="62">
        <v>7.0000000000000007E-2</v>
      </c>
      <c r="C11" s="61">
        <f>(1-$B$2)*SUM($B$9:$B$15)*B11/SUM($B$9:$B$12)</f>
        <v>4.256756756756757E-2</v>
      </c>
      <c r="D11" s="61">
        <f>IFERROR((1-$B$4)*SUM($C$10:$C$12)*C11/SUM($C$11:$C$12),0)</f>
        <v>0.14472972972972975</v>
      </c>
      <c r="E11" s="61">
        <f>$B$5*SUM($D$11:$D$12)</f>
        <v>0</v>
      </c>
      <c r="F11" s="1"/>
      <c r="G11" s="1"/>
      <c r="H11" s="1"/>
      <c r="U11" s="1"/>
    </row>
    <row r="12" spans="1:21" ht="13.8" x14ac:dyDescent="0.25">
      <c r="A12" s="24" t="s">
        <v>6</v>
      </c>
      <c r="B12" s="62">
        <v>0.02</v>
      </c>
      <c r="C12" s="61">
        <f>(1-$B$2)*SUM($B$9:$B$15)*B12/SUM($B$9:$B$12)</f>
        <v>1.2162162162162161E-2</v>
      </c>
      <c r="D12" s="61">
        <f>IFERROR((1-$B$4)*SUM($C$10:$C$12)*C12/SUM($C$11:$C$12),0)</f>
        <v>4.1351351351351352E-2</v>
      </c>
      <c r="E12" s="61">
        <f>(1-$B$5)*SUM($D$11:$D$12)</f>
        <v>0.1860810810810811</v>
      </c>
      <c r="F12" s="1"/>
      <c r="G12" s="1"/>
      <c r="H12" s="1"/>
      <c r="U12" s="1"/>
    </row>
    <row r="13" spans="1:21" ht="13.8" x14ac:dyDescent="0.25">
      <c r="A13" s="24" t="s">
        <v>7</v>
      </c>
      <c r="B13" s="62">
        <v>0.13</v>
      </c>
      <c r="C13" s="61">
        <f>$B$2*SUM($B$9:$B$15)*B13/SUM($B$13:$B$15)</f>
        <v>0.17960526315789471</v>
      </c>
      <c r="D13" s="61">
        <f>$B$3*SUM($C$13:$C$15)</f>
        <v>0.31499999999999995</v>
      </c>
      <c r="E13" s="61">
        <f>D13</f>
        <v>0.31499999999999995</v>
      </c>
      <c r="F13" s="1"/>
      <c r="G13" s="1"/>
      <c r="H13" s="1"/>
      <c r="U13" s="1"/>
    </row>
    <row r="14" spans="1:21" ht="13.8" x14ac:dyDescent="0.25">
      <c r="A14" s="24" t="s">
        <v>8</v>
      </c>
      <c r="B14" s="62">
        <v>0.2</v>
      </c>
      <c r="C14" s="61">
        <f>$B$2*SUM($B$9:$B$15)*B14/SUM($B$13:$B$15)</f>
        <v>0.27631578947368418</v>
      </c>
      <c r="D14" s="61">
        <f>IFERROR((1-$B$3)*SUM($C$13:$C$15)*C14/SUM($C$14:$C$15),0)</f>
        <v>0.16799999999999998</v>
      </c>
      <c r="E14" s="61">
        <f>$B$5*SUM($D$14:$D$15)</f>
        <v>0</v>
      </c>
      <c r="F14" s="1"/>
      <c r="G14" s="1"/>
      <c r="H14" s="1"/>
      <c r="U14" s="1"/>
    </row>
    <row r="15" spans="1:21" ht="13.8" x14ac:dyDescent="0.25">
      <c r="A15" s="24" t="s">
        <v>9</v>
      </c>
      <c r="B15" s="62">
        <v>0.05</v>
      </c>
      <c r="C15" s="61">
        <f>$B$2*SUM($B$9:$B$15)*B15/SUM($B$13:$B$15)</f>
        <v>6.9078947368421045E-2</v>
      </c>
      <c r="D15" s="61">
        <f>IFERROR((1-$B$3)*SUM($C$13:$C$15)*C15/SUM($C$14:$C$15),0)</f>
        <v>4.1999999999999996E-2</v>
      </c>
      <c r="E15" s="61">
        <f>(1-$B$5)*SUM($D$14:$D$15)</f>
        <v>0.20999999999999996</v>
      </c>
      <c r="F15" s="1"/>
      <c r="G15" s="1"/>
      <c r="H15" s="1"/>
      <c r="U15" s="1"/>
    </row>
    <row r="16" spans="1:21" ht="13.8" x14ac:dyDescent="0.25">
      <c r="A16" s="24" t="s">
        <v>10</v>
      </c>
      <c r="B16" s="62">
        <v>0</v>
      </c>
      <c r="C16" s="61">
        <v>0</v>
      </c>
      <c r="D16" s="61">
        <f>C16</f>
        <v>0</v>
      </c>
      <c r="E16" s="61">
        <f t="shared" ref="E16:E17" si="0">D16</f>
        <v>0</v>
      </c>
      <c r="F16" s="1"/>
      <c r="G16" s="1"/>
      <c r="H16" s="1"/>
      <c r="U16" s="1"/>
    </row>
    <row r="17" spans="1:21" ht="13.8" x14ac:dyDescent="0.25">
      <c r="A17" s="24" t="s">
        <v>11</v>
      </c>
      <c r="B17" s="62">
        <v>0.25</v>
      </c>
      <c r="C17" s="61">
        <v>0.25</v>
      </c>
      <c r="D17" s="61">
        <f>C17</f>
        <v>0.25</v>
      </c>
      <c r="E17" s="61">
        <f t="shared" si="0"/>
        <v>0.25</v>
      </c>
      <c r="F17" s="1"/>
      <c r="G17" s="1"/>
      <c r="H17" s="1"/>
      <c r="U17" s="1"/>
    </row>
    <row r="18" spans="1:21" ht="13.8" x14ac:dyDescent="0.25">
      <c r="A18" s="2" t="s">
        <v>0</v>
      </c>
      <c r="B18" s="4">
        <f>SUM(B9:B17)</f>
        <v>1</v>
      </c>
      <c r="C18" s="4">
        <f>SUM(C9:C17)</f>
        <v>0.99999999999999989</v>
      </c>
      <c r="D18" s="4">
        <f t="shared" ref="D18" si="1">SUM(D9:D17)</f>
        <v>1</v>
      </c>
      <c r="E18" s="4">
        <f>SUM(E9:E17)</f>
        <v>1</v>
      </c>
      <c r="F18" s="1"/>
      <c r="G18" s="1"/>
      <c r="H18" s="1"/>
      <c r="U18" s="1"/>
    </row>
    <row r="19" spans="1:21" ht="13.8" x14ac:dyDescent="0.25">
      <c r="F19" s="1"/>
      <c r="G19" s="1"/>
      <c r="H19" s="1"/>
      <c r="U19" s="1"/>
    </row>
    <row r="20" spans="1:21" ht="13.8" x14ac:dyDescent="0.25">
      <c r="E20" s="64"/>
      <c r="F20" s="1"/>
      <c r="G20" s="1"/>
      <c r="H20" s="1"/>
      <c r="U20" s="1"/>
    </row>
    <row r="21" spans="1:21" ht="13.8" x14ac:dyDescent="0.25">
      <c r="U21" s="1"/>
    </row>
    <row r="22" spans="1:21" ht="13.8" x14ac:dyDescent="0.25">
      <c r="B22" s="63"/>
      <c r="C22" s="63"/>
      <c r="U22" s="1"/>
    </row>
    <row r="23" spans="1:21" ht="13.8" x14ac:dyDescent="0.25">
      <c r="A23" s="52"/>
      <c r="B23" s="63"/>
      <c r="C23" s="63"/>
      <c r="F23" s="1"/>
      <c r="G23" s="1"/>
      <c r="H23" s="1"/>
      <c r="U23" s="1"/>
    </row>
    <row r="24" spans="1:21" ht="13.8" x14ac:dyDescent="0.25">
      <c r="B24" s="63"/>
      <c r="C24" s="63"/>
      <c r="F24" s="1"/>
      <c r="G24" s="1"/>
      <c r="H24" s="1"/>
      <c r="U24" s="1"/>
    </row>
    <row r="25" spans="1:21" ht="13.8" x14ac:dyDescent="0.25">
      <c r="B25" s="63"/>
      <c r="C25" s="63"/>
      <c r="F25" s="1"/>
      <c r="G25" s="1"/>
      <c r="H25" s="1"/>
      <c r="U25" s="1"/>
    </row>
    <row r="26" spans="1:21" ht="13.8" x14ac:dyDescent="0.25">
      <c r="F26" s="1"/>
      <c r="G26" s="1"/>
      <c r="H26" s="1"/>
      <c r="U26" s="1"/>
    </row>
    <row r="27" spans="1:21" x14ac:dyDescent="0.3">
      <c r="F27" s="1"/>
      <c r="G27" s="1"/>
      <c r="H27" s="1"/>
      <c r="R27" s="46"/>
      <c r="S27" s="46"/>
      <c r="T27" s="46"/>
    </row>
    <row r="28" spans="1:21" x14ac:dyDescent="0.3">
      <c r="F28" s="1"/>
      <c r="G28" s="52"/>
      <c r="H28" s="1"/>
      <c r="R28" s="46"/>
      <c r="S28" s="46"/>
      <c r="T28" s="46"/>
    </row>
    <row r="29" spans="1:21" x14ac:dyDescent="0.3">
      <c r="R29" s="46"/>
      <c r="S29" s="46"/>
      <c r="T29" s="46"/>
    </row>
    <row r="30" spans="1:21" x14ac:dyDescent="0.3">
      <c r="R30" s="2"/>
      <c r="S30" s="47"/>
      <c r="T30" s="50"/>
    </row>
    <row r="32" spans="1:21" x14ac:dyDescent="0.3">
      <c r="S32" s="46"/>
      <c r="T32" s="51"/>
    </row>
    <row r="33" spans="18:20" x14ac:dyDescent="0.3">
      <c r="S33" s="46"/>
      <c r="T33" s="49"/>
    </row>
    <row r="34" spans="18:20" x14ac:dyDescent="0.3">
      <c r="R34" s="2"/>
      <c r="S34" s="47"/>
      <c r="T34" s="50"/>
    </row>
    <row r="36" spans="18:20" x14ac:dyDescent="0.3">
      <c r="S36" s="46"/>
      <c r="T36" s="49"/>
    </row>
    <row r="37" spans="18:20" x14ac:dyDescent="0.3">
      <c r="S37" s="46"/>
      <c r="T37" s="51"/>
    </row>
    <row r="38" spans="18:20" x14ac:dyDescent="0.3">
      <c r="R38" s="2"/>
      <c r="S38" s="47"/>
      <c r="T38" s="50"/>
    </row>
    <row r="52" spans="11:11" x14ac:dyDescent="0.3">
      <c r="K52" s="52"/>
    </row>
    <row r="54" spans="11:11" x14ac:dyDescent="0.3">
      <c r="K54" s="53"/>
    </row>
  </sheetData>
  <phoneticPr fontId="22" type="noConversion"/>
  <pageMargins left="0.7" right="0.7" top="0.78740157499999996" bottom="0.78740157499999996" header="0.3" footer="0.3"/>
  <pageSetup paperSize="9" orientation="portrait" r:id="rId1"/>
  <headerFooter>
    <oddHeader>&amp;C&amp;G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3F51-6EFF-45ED-8EF8-F2EA8FC2E592}">
  <dimension ref="A1"/>
  <sheetViews>
    <sheetView workbookViewId="0">
      <selection activeCell="K13" sqref="K13"/>
    </sheetView>
  </sheetViews>
  <sheetFormatPr baseColWidth="10" defaultRowHeight="13.8" x14ac:dyDescent="0.25"/>
  <cols>
    <col min="1" max="16384" width="11.19921875" style="1"/>
  </cols>
  <sheetData/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1FF026-7764-4A42-8AC0-984AAFB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Index</vt:lpstr>
      <vt:lpstr>Weights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SIGNER Pascal</dc:creator>
  <cp:lastModifiedBy>SIGNER Pascal</cp:lastModifiedBy>
  <dcterms:created xsi:type="dcterms:W3CDTF">2026-05-11T14:56:52Z</dcterms:created>
  <dcterms:modified xsi:type="dcterms:W3CDTF">2026-05-21T10:21:07Z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9508ac-8ac4-4ec6-977e-e0ef084c4e98_Enabled">
    <vt:lpwstr>true</vt:lpwstr>
  </property>
  <property fmtid="{D5CDD505-2E9C-101B-9397-08002B2CF9AE}" pid="3" name="MSIP_Label_0b9508ac-8ac4-4ec6-977e-e0ef084c4e98_SetDate">
    <vt:lpwstr>2026-05-11T15:14:19Z</vt:lpwstr>
  </property>
  <property fmtid="{D5CDD505-2E9C-101B-9397-08002B2CF9AE}" pid="4" name="MSIP_Label_0b9508ac-8ac4-4ec6-977e-e0ef084c4e98_Method">
    <vt:lpwstr>Standard</vt:lpwstr>
  </property>
  <property fmtid="{D5CDD505-2E9C-101B-9397-08002B2CF9AE}" pid="5" name="MSIP_Label_0b9508ac-8ac4-4ec6-977e-e0ef084c4e98_Name">
    <vt:lpwstr>CH_Internal</vt:lpwstr>
  </property>
  <property fmtid="{D5CDD505-2E9C-101B-9397-08002B2CF9AE}" pid="6" name="MSIP_Label_0b9508ac-8ac4-4ec6-977e-e0ef084c4e98_SiteId">
    <vt:lpwstr>396b38cc-aa65-492b-bb0e-3d94ed25a97b</vt:lpwstr>
  </property>
  <property fmtid="{D5CDD505-2E9C-101B-9397-08002B2CF9AE}" pid="7" name="MSIP_Label_0b9508ac-8ac4-4ec6-977e-e0ef084c4e98_ActionId">
    <vt:lpwstr>3fd53b8e-3fe8-4583-904b-314698f503f1</vt:lpwstr>
  </property>
  <property fmtid="{D5CDD505-2E9C-101B-9397-08002B2CF9AE}" pid="8" name="MSIP_Label_0b9508ac-8ac4-4ec6-977e-e0ef084c4e98_ContentBits">
    <vt:lpwstr>4</vt:lpwstr>
  </property>
  <property fmtid="{D5CDD505-2E9C-101B-9397-08002B2CF9AE}" pid="9" name="MSIP_Label_0b9508ac-8ac4-4ec6-977e-e0ef084c4e98_Tag">
    <vt:lpwstr>10, 3, 0, 1</vt:lpwstr>
  </property>
</Properties>
</file>